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uong\Desktop\tài liệu\"/>
    </mc:Choice>
  </mc:AlternateContent>
  <xr:revisionPtr revIDLastSave="0" documentId="13_ncr:1_{FBF2F831-0E44-4F93-8C56-4BA9B11509B9}" xr6:coauthVersionLast="47" xr6:coauthVersionMax="47" xr10:uidLastSave="{00000000-0000-0000-0000-000000000000}"/>
  <bookViews>
    <workbookView xWindow="-108" yWindow="-108" windowWidth="23256" windowHeight="12456" tabRatio="500" xr2:uid="{00000000-000D-0000-FFFF-FFFF00000000}"/>
  </bookViews>
  <sheets>
    <sheet name="CauHoi" sheetId="1" r:id="rId1"/>
    <sheet name="HuongDan" sheetId="2" r:id="rId2"/>
  </sheets>
  <definedNames>
    <definedName name="_xlnm._FilterDatabase" localSheetId="0" hidden="1">CauHoi!$A$1:$P$51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0" i="2" l="1"/>
  <c r="B19" i="2"/>
  <c r="B18" i="2"/>
  <c r="B17" i="2"/>
  <c r="B16" i="2"/>
  <c r="B15" i="2"/>
  <c r="B14" i="2"/>
  <c r="B13" i="2"/>
</calcChain>
</file>

<file path=xl/sharedStrings.xml><?xml version="1.0" encoding="utf-8"?>
<sst xmlns="http://schemas.openxmlformats.org/spreadsheetml/2006/main" count="640" uniqueCount="305">
  <si>
    <t>Chủ đề</t>
  </si>
  <si>
    <t>Nội dung</t>
  </si>
  <si>
    <t>Loại</t>
  </si>
  <si>
    <t>Độ khó</t>
  </si>
  <si>
    <t>Đáp án</t>
  </si>
  <si>
    <t>Phạm vi</t>
  </si>
  <si>
    <t>Bộ phận</t>
  </si>
  <si>
    <t>Lựa chọn 1</t>
  </si>
  <si>
    <t>Lựa chọn 2</t>
  </si>
  <si>
    <t>Lựa chọn 3</t>
  </si>
  <si>
    <t>Lựa chọn 4</t>
  </si>
  <si>
    <t>Lựa chọn 5</t>
  </si>
  <si>
    <t>Lựa chọn 6</t>
  </si>
  <si>
    <t>Lựa chọn 7</t>
  </si>
  <si>
    <t>Lựa chọn 8</t>
  </si>
  <si>
    <t>Đáp án đúng</t>
  </si>
  <si>
    <t>20/10</t>
  </si>
  <si>
    <t>Ngày Phụ nữ Việt Nam được kỷ niệm hằng năm vào ngày nào?</t>
  </si>
  <si>
    <t>Lý thuyết</t>
  </si>
  <si>
    <t>Dễ</t>
  </si>
  <si>
    <t>Chọn 1</t>
  </si>
  <si>
    <t>Chung</t>
  </si>
  <si>
    <t>8/3</t>
  </si>
  <si>
    <t>10/3</t>
  </si>
  <si>
    <t>19/5</t>
  </si>
  <si>
    <t>2</t>
  </si>
  <si>
    <t>Ngày 20/10/1930 gắn với sự kiện lịch sử nào của phụ nữ Việt Nam?</t>
  </si>
  <si>
    <t>Trung bình</t>
  </si>
  <si>
    <t>Thành lập Đảng Cộng sản Việt Nam.</t>
  </si>
  <si>
    <t>Thành lập Mặt trận Việt Minh.</t>
  </si>
  <si>
    <t>Khởi nghĩa Hai Bà Trưng.</t>
  </si>
  <si>
    <t>Thành lập Hội Phụ nữ phản đế Việt Nam, tiền thân của Hội Liên hiệp Phụ nữ Việt Nam.</t>
  </si>
  <si>
    <t>4</t>
  </si>
  <si>
    <t>Theo Luật Bình đẳng giới, "bình đẳng giới" được hiểu như thế nào?</t>
  </si>
  <si>
    <t>Nam, nữ phải làm những công việc giống hệt nhau.</t>
  </si>
  <si>
    <t>Nữ được ưu tiên hơn nam trong mọi lĩnh vực của đời sống.</t>
  </si>
  <si>
    <t>Nam, nữ có vị trí, vai trò ngang nhau, được tạo điều kiện và cơ hội phát huy năng lực của mình cho sự phát triển của cộng đồng, gia đình và thụ hưởng như nhau về thành quả của sự phát triển đó.</t>
  </si>
  <si>
    <t>Nam, nữ phải có số lượng bằng nhau ở mọi vị trí công tác.</t>
  </si>
  <si>
    <t>3</t>
  </si>
  <si>
    <t>Theo Bộ luật Lao động 2019, lao động nữ sinh con được nghỉ thai sản trước và sau khi sinh con tổng cộng bao lâu?</t>
  </si>
  <si>
    <t>04 tháng.</t>
  </si>
  <si>
    <t>05 tháng.</t>
  </si>
  <si>
    <t>06 tháng.</t>
  </si>
  <si>
    <t>08 tháng.</t>
  </si>
  <si>
    <t>Theo Bộ luật Lao động 2019, "quấy rối tình dục tại nơi làm việc" là gì?</t>
  </si>
  <si>
    <t>Khó</t>
  </si>
  <si>
    <t>Chỉ là hành vi của cấp trên đối với cấp dưới trong giờ làm việc.</t>
  </si>
  <si>
    <t>Chỉ được coi là quấy rối khi người bị hại có đơn tố cáo bằng văn bản.</t>
  </si>
  <si>
    <t>Là hành vi có tính chất tình dục của bất kỳ người nào đối với người khác tại nơi làm việc mà không được người đó mong muốn hoặc chấp nhận.</t>
  </si>
  <si>
    <t>Chỉ bao gồm hành vi xâm hại thân thể, không bao gồm lời nói hay tin nhắn.</t>
  </si>
  <si>
    <t>Lao động nữ đang mang thai làm công việc nặng nhọc, độc hại, nguy hiểm có thể ảnh hưởng xấu tới thai nhi thì được người sử dụng lao động xử lý thế nào?</t>
  </si>
  <si>
    <t>Riêng</t>
  </si>
  <si>
    <t>An toàn lao động</t>
  </si>
  <si>
    <t>Được chuyển sang công việc nhẹ hơn, an toàn hơn hoặc giảm bớt 01 giờ làm việc hằng ngày mà không bị cắt giảm tiền lương và quyền lợi.</t>
  </si>
  <si>
    <t>Tiếp tục làm việc bình thường như các lao động khác.</t>
  </si>
  <si>
    <t>Bắt buộc tự nghỉ việc không hưởng lương cho đến khi sinh con.</t>
  </si>
  <si>
    <t>Bị chấm dứt hợp đồng lao động vì không đáp ứng yêu cầu công việc.</t>
  </si>
  <si>
    <t>1</t>
  </si>
  <si>
    <t>Theo Bộ luật Lao động 2019, lao động nữ trong thời gian hành kinh được nghỉ mỗi ngày bao nhiêu phút (tối thiểu 03 ngày làm việc trong một tháng, vẫn hưởng đủ tiền lương)?</t>
  </si>
  <si>
    <t>15 phút.</t>
  </si>
  <si>
    <t>20 phút.</t>
  </si>
  <si>
    <t>30 phút.</t>
  </si>
  <si>
    <t>60 phút.</t>
  </si>
  <si>
    <t>Người sử dụng lao động phải bảo đảm điều kiện nào sau đây tại nơi làm việc đối với lao động nữ?</t>
  </si>
  <si>
    <t>Chỉ cần một nhà vệ sinh chung cho cả nam và nữ, không cần ngăn cách.</t>
  </si>
  <si>
    <t>Chỉ cần bố trí khi doanh nghiệp có trên 500 lao động.</t>
  </si>
  <si>
    <t>Không bắt buộc, lao động nữ tự thu xếp ngoài giờ làm việc.</t>
  </si>
  <si>
    <t>Có đủ buồng tắm và buồng vệ sinh phù hợp tại nơi làm việc.</t>
  </si>
  <si>
    <t>Lao động nữ trong thời gian nuôi con dưới 12 tháng tuổi được nghỉ mỗi ngày bao nhiêu phút trong giờ làm việc để cho con bú, vắt, trữ sữa, nghỉ ngơi (vẫn hưởng đủ tiền lương)?</t>
  </si>
  <si>
    <t>45 phút.</t>
  </si>
  <si>
    <t>90 phút.</t>
  </si>
  <si>
    <t>Khi nghe chuông báo cháy tại nơi làm việc, mọi người lao động, kể cả lao động nữ mang thai hoặc nuôi con nhỏ, cần làm gì?</t>
  </si>
  <si>
    <t>Đứng yên tại chỗ chờ hướng dẫn mới di chuyển.</t>
  </si>
  <si>
    <t>Đi thang máy xuống tầng trệt cho nhanh.</t>
  </si>
  <si>
    <t>Ngắt thiết bị nếu an toàn, bình tĩnh di chuyển theo lối thoát nạn gần nhất và không sử dụng thang máy.</t>
  </si>
  <si>
    <t>Quay lại lấy đồ dùng cá nhân rồi mới thoát ra.</t>
  </si>
  <si>
    <t>Khi bị đối tượng xấu đe dọa, quấy rối qua mạng xã hội, việc làm phù hợp nhất là gì?</t>
  </si>
  <si>
    <t>Công nghệ thông tin</t>
  </si>
  <si>
    <t>Chuyển tiền theo yêu cầu để đối tượng ngừng quấy rối.</t>
  </si>
  <si>
    <t>Lưu giữ bằng chứng (ảnh chụp màn hình, tin nhắn, đường dẫn), chặn đối tượng và báo cho người có trách nhiệm hoặc cơ quan chức năng.</t>
  </si>
  <si>
    <t>Đáp trả bằng lời lẽ xúc phạm để đối tượng sợ.</t>
  </si>
  <si>
    <t>Xóa hết tin nhắn để quên đi và không nói với ai.</t>
  </si>
  <si>
    <t>Việc đăng tải hoặc chia sẻ hình ảnh riêng tư của đồng nghiệp lên mạng khi chưa được người đó đồng ý có được phép không?</t>
  </si>
  <si>
    <t>Được, vì ảnh đang nằm trong điện thoại của người chia sẻ.</t>
  </si>
  <si>
    <t>Không, đây là hành vi xâm phạm quyền riêng tư và có thể bị xử lý theo quy định của pháp luật.</t>
  </si>
  <si>
    <t>Được, nếu chỉ chia sẻ trong nhóm kín.</t>
  </si>
  <si>
    <t>Được, nếu ghi chú rằng đây chỉ là trò đùa.</t>
  </si>
  <si>
    <t>Hệ thống thông tin quản lý hồ sơ nhân sự (thai sản, sức khỏe của người lao động) cần được bảo vệ như thế nào?</t>
  </si>
  <si>
    <t>Cho mọi nhân viên cùng xem để bảo đảm công khai, minh bạch.</t>
  </si>
  <si>
    <t>Gửi qua nhóm chat chung để tiện trao đổi.</t>
  </si>
  <si>
    <t>Phân quyền truy cập, chỉ người có thẩm quyền được xem và có biện pháp bảo mật, lưu vết truy cập.</t>
  </si>
  <si>
    <t>Lưu trong tệp không đặt mật khẩu trên máy tính dùng chung.</t>
  </si>
  <si>
    <t>Tài khoản mạng xã hội cá nhân thường bị chiếm đoạt để giả mạo người quen lừa đảo. Biện pháp bảo vệ nào sau đây là phù hợp?</t>
  </si>
  <si>
    <t>Gửi mã OTP cho người quen khi được nhắn tin nhờ giúp.</t>
  </si>
  <si>
    <t>Đặt mật khẩu mạnh, khác nhau cho từng tài khoản và bật xác thực hai lớp.</t>
  </si>
  <si>
    <t>Dùng chung một mật khẩu dễ nhớ cho mọi tài khoản.</t>
  </si>
  <si>
    <t>Bấm vào mọi đường dẫn lạ để kiểm tra nguồn gốc.</t>
  </si>
  <si>
    <t>Theo quy định pháp luật Việt Nam về bảo vệ dữ liệu cá nhân, thông tin về tình trạng sức khỏe (ví dụ lao động nữ đang mang thai) thuộc nhóm nào?</t>
  </si>
  <si>
    <t>Dữ liệu không cần bảo vệ nếu chỉ lưu trong nội bộ.</t>
  </si>
  <si>
    <t>Dữ liệu công khai, ai cũng được sử dụng.</t>
  </si>
  <si>
    <t>Dữ liệu chỉ cần bảo vệ khi người lao động đã nghỉ việc.</t>
  </si>
  <si>
    <t>Dữ liệu cá nhân nhạy cảm, cần có biện pháp bảo vệ chặt chẽ hơn.</t>
  </si>
  <si>
    <t>Theo quy định về chế độ thai sản, lao động nữ mang thai được nghỉ việc để đi khám thai tối đa mấy lần, mỗi lần mấy ngày (trường hợp bình thường)?</t>
  </si>
  <si>
    <t>Hành chính - Nhân sự</t>
  </si>
  <si>
    <t>03 lần, mỗi lần 01 ngày.</t>
  </si>
  <si>
    <t>05 lần, mỗi lần 01 ngày.</t>
  </si>
  <si>
    <t>05 lần, mỗi lần 02 ngày.</t>
  </si>
  <si>
    <t>10 lần, mỗi lần 01 ngày.</t>
  </si>
  <si>
    <t>Người sử dụng lao động có được sa thải hoặc đơn phương chấm dứt hợp đồng lao động đối với lao động nữ vì lý do mang thai, nghỉ thai sản hoặc nuôi con dưới 12 tháng tuổi không?</t>
  </si>
  <si>
    <t>Không được, mang thai, nghỉ thai sản hoặc nuôi con dưới 12 tháng tuổi không phải là căn cứ để sa thải hoặc đơn phương chấm dứt hợp đồng lao động.</t>
  </si>
  <si>
    <t>Được, nếu lao động nữ không còn khả năng làm thêm giờ.</t>
  </si>
  <si>
    <t>Được, nếu lao động nữ nghỉ thai sản quá 03 tháng.</t>
  </si>
  <si>
    <t>Được, nếu doanh nghiệp đang gặp khó khăn tạm thời về nhân lực.</t>
  </si>
  <si>
    <t>Theo Bộ luật Lao động 2019, tuổi nghỉ hưu của lao động nữ trong điều kiện lao động bình thường sẽ đạt mức nào vào năm 2035?</t>
  </si>
  <si>
    <t>58 tuổi.</t>
  </si>
  <si>
    <t>60 tuổi.</t>
  </si>
  <si>
    <t>57 tuổi.</t>
  </si>
  <si>
    <t>55 tuổi.</t>
  </si>
  <si>
    <t>Theo Bộ luật Lao động 2019, nội quy lao động của doanh nghiệp phải có nội dung nào sau đây?</t>
  </si>
  <si>
    <t>Quy định giờ làm việc khác nhau cho nam và nữ.</t>
  </si>
  <si>
    <t>Quy định cấm lao động nữ tham gia tổ chức công đoàn.</t>
  </si>
  <si>
    <t>Phòng, chống quấy rối tình dục tại nơi làm việc.</t>
  </si>
  <si>
    <t>Quy định lao động nữ không được nghỉ thai sản quá 03 tháng.</t>
  </si>
  <si>
    <t>Khi tuyển dụng, tiêu chí nào sau đây phù hợp với nguyên tắc bình đẳng giới?</t>
  </si>
  <si>
    <t>Yêu cầu ứng viên nữ cam kết không kết hôn, không sinh con trong thời gian nhất định.</t>
  </si>
  <si>
    <t>Chỉ tuyển ứng viên nữ cho các vị trí hành chính.</t>
  </si>
  <si>
    <t>Chỉ tuyển nam cho mọi vị trí để tránh việc nghỉ thai sản.</t>
  </si>
  <si>
    <t>Dựa trên năng lực, trình độ và yêu cầu của công việc, không phân biệt đối xử về giới tính.</t>
  </si>
  <si>
    <t>Trong thời gian lao động nữ nghỉ hành kinh (30 phút/ngày) và nghỉ cho con bú, vắt, trữ sữa (60 phút/ngày) trong giờ làm việc, tiền lương được xử lý thế nào?</t>
  </si>
  <si>
    <t>Kế toán</t>
  </si>
  <si>
    <t>Chỉ được trả 50% tiền lương của thời gian nghỉ.</t>
  </si>
  <si>
    <t>Bị trừ toàn bộ tiền lương của thời gian nghỉ.</t>
  </si>
  <si>
    <t>Được tính là nghỉ không lương và phải làm bù vào ngày khác.</t>
  </si>
  <si>
    <t>Vẫn được hưởng đủ tiền lương theo hợp đồng lao động.</t>
  </si>
  <si>
    <t>Nguyên tắc trả lương đối với lao động nam và lao động nữ làm công việc có giá trị như nhau là gì?</t>
  </si>
  <si>
    <t>Trả lương tùy theo tình trạng hôn nhân của người lao động.</t>
  </si>
  <si>
    <t>Trả lương bình đẳng, không phân biệt giới tính.</t>
  </si>
  <si>
    <t>Trả lương cao hơn cho lao động nữ.</t>
  </si>
  <si>
    <t>Trả lương cao hơn cho lao động nam.</t>
  </si>
  <si>
    <t>Tiền chế độ thai sản của lao động nữ đủ điều kiện trong thời gian nghỉ sinh con chủ yếu do nguồn nào chi trả?</t>
  </si>
  <si>
    <t>Quỹ bảo hiểm xã hội.</t>
  </si>
  <si>
    <t>Ngân sách của địa phương nơi người lao động cư trú.</t>
  </si>
  <si>
    <t>Quỹ của tổ chức công đoàn cấp trên.</t>
  </si>
  <si>
    <t>Doanh nghiệp tự chi trả toàn bộ từ chi phí sản xuất.</t>
  </si>
  <si>
    <t>Người sử dụng lao động có trách nhiệm tổ chức khám sức khỏe định kỳ cho người lao động. Chi phí khám sức khỏe này thuộc trách nhiệm của bên nào?</t>
  </si>
  <si>
    <t>Người sử dụng lao động.</t>
  </si>
  <si>
    <t>Từng người lao động tự chi trả.</t>
  </si>
  <si>
    <t>Tổ chức công đoàn.</t>
  </si>
  <si>
    <t>Cơ quan bảo hiểm y tế.</t>
  </si>
  <si>
    <t>Khi lập dự toán chi cho hoạt động kỷ niệm ngày 20/10, kế toán cần căn cứ vào đâu?</t>
  </si>
  <si>
    <t>Số tiền còn dư trong quỹ cuối năm.</t>
  </si>
  <si>
    <t>Mức chi của các đơn vị khác, không cần quy chế.</t>
  </si>
  <si>
    <t>Đề nghị miệng của người phụ trách hoạt động.</t>
  </si>
  <si>
    <t>Quy chế chi tiêu nội bộ, định mức và kế hoạch đã được cấp có thẩm quyền phê duyệt.</t>
  </si>
  <si>
    <t>Lao động nữ tóc dài khi vận hành máy quay, máy cắt cần làm gì để tránh tai nạn?</t>
  </si>
  <si>
    <t>Kỹ thuật cơ khí</t>
  </si>
  <si>
    <t>Quấn khăn dài buông thõng để che bụi.</t>
  </si>
  <si>
    <t>Chỉ cần cẩn thận, không cần biện pháp nào khác.</t>
  </si>
  <si>
    <t>Buộc gọn tóc, đội mũ bảo hộ phù hợp và không đeo khăn, trang sức dài thõng khi làm việc gần bộ phận quay.</t>
  </si>
  <si>
    <t>Để tóc xõa tự nhiên cho thoải mái.</t>
  </si>
  <si>
    <t>Phương tiện bảo vệ cá nhân (quần áo, găng tay, giày bảo hộ...) cấp cho người lao động, kể cả lao động nữ, cần đáp ứng yêu cầu nào?</t>
  </si>
  <si>
    <t>Chỉ cấp cho lao động nam vì công việc nặng nhọc.</t>
  </si>
  <si>
    <t>Người lao động tự mua theo sở thích.</t>
  </si>
  <si>
    <t>Dùng một cỡ chung cho tất cả mọi người để tiết kiệm.</t>
  </si>
  <si>
    <t>Đúng chủng loại, phù hợp kích cỡ và thể trạng của người sử dụng.</t>
  </si>
  <si>
    <t>Công việc mang vác, nâng hạ nặng thường xuyên gây hại cho sức khỏe, đặc biệt là lao động nữ. Biện pháp kỹ thuật nên ưu tiên là gì?</t>
  </si>
  <si>
    <t>Tăng thời gian mang vác để người lao động quen dần.</t>
  </si>
  <si>
    <t>Yêu cầu người lao động tự mang vác vượt khả năng.</t>
  </si>
  <si>
    <t>Giảm trang bị bảo hộ để dễ cử động.</t>
  </si>
  <si>
    <t>Cải tiến thiết bị, dùng phương tiện nâng hạ, vận chuyển cơ giới để giảm mang vác thủ công.</t>
  </si>
  <si>
    <t>Khi phát hiện máy có dấu hiệu nguy hiểm trong lúc vận hành, người vận hành phải làm gì?</t>
  </si>
  <si>
    <t>Dừng máy, ngắt nguồn theo quy trình nếu an toàn và báo ngay cho người phụ trách.</t>
  </si>
  <si>
    <t>Cố gắng sửa tại chỗ khi máy đang chạy.</t>
  </si>
  <si>
    <t>Bỏ qua nếu máy vẫn hoạt động được.</t>
  </si>
  <si>
    <t>Chờ hết ca làm việc rồi mới báo cáo.</t>
  </si>
  <si>
    <t>Trước khi giao người lao động mới (kể cả lao động nữ) vận hành thiết bị có yêu cầu nghiêm ngặt về an toàn, đơn vị cần bảo đảm điều gì?</t>
  </si>
  <si>
    <t>Chỉ cần được người cũ hướng dẫn miệng vài phút.</t>
  </si>
  <si>
    <t>Người đó được huấn luyện an toàn, vệ sinh lao động và đủ điều kiện (chứng chỉ, thẻ an toàn) theo quy định.</t>
  </si>
  <si>
    <t>Không cần huấn luyện nếu đã có nhiều năm làm việc ở đơn vị khác.</t>
  </si>
  <si>
    <t>Chỉ cần tự học theo kinh nghiệm cá nhân.</t>
  </si>
  <si>
    <t>Trong tổng thời gian nghỉ thai sản 06 tháng, thời gian nghỉ trước khi sinh tối đa không quá bao lâu?</t>
  </si>
  <si>
    <t>Tổ chức lao động</t>
  </si>
  <si>
    <t>01 tháng.</t>
  </si>
  <si>
    <t>02 tháng.</t>
  </si>
  <si>
    <t>03 tháng.</t>
  </si>
  <si>
    <t>Trường hợp lao động nữ sinh đôi trở lên, thời gian nghỉ thai sản được tính thế nào?</t>
  </si>
  <si>
    <t>Mỗi con, kể cả con đầu, được nghỉ thêm 01 tháng.</t>
  </si>
  <si>
    <t>Không được nghỉ thêm so với sinh một con.</t>
  </si>
  <si>
    <t>Chỉ được nghỉ thêm 07 ngày cho cả lần sinh.</t>
  </si>
  <si>
    <t>Từ con thứ hai trở đi, cứ mỗi con người mẹ được nghỉ thêm 01 tháng.</t>
  </si>
  <si>
    <t>Hết thời gian nghỉ thai sản, lao động nữ trở lại làm việc được bảo đảm quyền lợi nào?</t>
  </si>
  <si>
    <t>Được bảo đảm việc làm cũ; nếu việc làm cũ không còn thì được bố trí việc làm khác với mức lương không thấp hơn trước khi nghỉ.</t>
  </si>
  <si>
    <t>Phải làm đơn xin việc lại như người mới.</t>
  </si>
  <si>
    <t>Doanh nghiệp có thể giảm lương vì đã nghỉ dài ngày.</t>
  </si>
  <si>
    <t>Doanh nghiệp được chấm dứt hợp đồng nếu việc làm cũ đã có người thay.</t>
  </si>
  <si>
    <t>Khi đánh giá, quy hoạch, bổ nhiệm cán bộ, nguyên tắc nào sau đây phù hợp với bình đẳng giới?</t>
  </si>
  <si>
    <t>Dựa trên năng lực, phẩm chất, thành tích, bảo đảm cơ hội như nhau giữa nam và nữ.</t>
  </si>
  <si>
    <t>Chỉ xem xét cán bộ nữ cho vị trí phụ trách công đoàn.</t>
  </si>
  <si>
    <t>Loại cán bộ nữ khi đang nuôi con nhỏ.</t>
  </si>
  <si>
    <t>Ưu tiên nam vì không phải nghỉ thai sản.</t>
  </si>
  <si>
    <t>Lao động nam đang đóng bảo hiểm xã hội có vợ sinh con (sinh thường) được nghỉ bao nhiêu ngày làm việc hưởng chế độ thai sản?</t>
  </si>
  <si>
    <t>03 ngày.</t>
  </si>
  <si>
    <t>05 ngày.</t>
  </si>
  <si>
    <t>07 ngày.</t>
  </si>
  <si>
    <t>10 ngày.</t>
  </si>
  <si>
    <t>Khi vận chuyển, xếp dỡ vật tư nặng, cách làm nào phù hợp để bảo vệ sức khỏe người lao động, đặc biệt là lao động nữ?</t>
  </si>
  <si>
    <t>Vật tư sản xuất</t>
  </si>
  <si>
    <t>Không cần dùng phương tiện hỗ trợ nếu có đông người.</t>
  </si>
  <si>
    <t>Giao lao động nữ mang vác tối đa để nhanh xong việc.</t>
  </si>
  <si>
    <t>Sử dụng xe đẩy, xe nâng, chia nhỏ khối lượng phù hợp thể trạng và không bắt mang vác quá sức.</t>
  </si>
  <si>
    <t>Bỏ qua việc đánh giá sức khỏe khi phân công.</t>
  </si>
  <si>
    <t>Lao động nữ đang mang thai làm việc trong kho có hóa chất độc hại có thể ảnh hưởng đến thai nhi, đơn vị cần xử lý thế nào?</t>
  </si>
  <si>
    <t>Giữ nguyên vị trí vì đã có găng tay, khẩu trang.</t>
  </si>
  <si>
    <t>Chuyển sang vị trí nhẹ nhàng, an toàn hơn hoặc giảm giờ làm theo quy định, không cắt giảm tiền lương.</t>
  </si>
  <si>
    <t>Yêu cầu nghỉ việc không lương cho đến khi sinh.</t>
  </si>
  <si>
    <t>Chỉ cần nhắc lao động nữ tự chú ý.</t>
  </si>
  <si>
    <t>Đơn vị có nhiều lao động nữ nuôi con nhỏ nên bố trí điều kiện nào để hỗ trợ chị em?</t>
  </si>
  <si>
    <t>Chỉ cho dùng nhà vệ sinh chung.</t>
  </si>
  <si>
    <t>Không cần bố trí vì đó là việc riêng của cá nhân.</t>
  </si>
  <si>
    <t>Cho vắt sữa ngay tại nơi để vật tư, hóa chất.</t>
  </si>
  <si>
    <t>Không gian riêng, sạch sẽ, kín đáo để nghỉ ngơi, vắt và trữ sữa.</t>
  </si>
  <si>
    <t>Người (kể cả lao động nữ) được giao điều khiển xe nâng hàng trong kho vật tư phải đáp ứng điều kiện nào?</t>
  </si>
  <si>
    <t>Chỉ cần được người khác cho phép dùng thử.</t>
  </si>
  <si>
    <t>Chỉ cần biết lái xe máy.</t>
  </si>
  <si>
    <t>Không cần điều kiện gì nếu chỉ vận hành trong kho.</t>
  </si>
  <si>
    <t>Được đào tạo, huấn luyện an toàn và có chứng chỉ, giấy phép vận hành phù hợp.</t>
  </si>
  <si>
    <t>Khi mua sắm quà tặng ngày 20/10 cho chị em bằng kinh phí của đơn vị, bộ phận vật tư cần thực hiện thế nào?</t>
  </si>
  <si>
    <t>Giao từng người tự mua rồi thanh toán sau.</t>
  </si>
  <si>
    <t>Mua ở nơi giá rẻ nhất, không cần hóa đơn.</t>
  </si>
  <si>
    <t>Mua đúng kế hoạch được phê duyệt, từ nhà cung cấp hợp pháp, có hóa đơn và biên bản nghiệm thu, nhập kho đầy đủ.</t>
  </si>
  <si>
    <t>Mua theo ý kiến cá nhân, không cần kế hoạch.</t>
  </si>
  <si>
    <t>Mức hưởng chế độ thai sản một tháng của lao động nữ bằng bao nhiêu phần trăm mức bình quân tiền lương tháng đóng bảo hiểm xã hội của 06 tháng liền kề trước khi nghỉ?</t>
  </si>
  <si>
    <t>tài chính kế toán</t>
  </si>
  <si>
    <t>70%.</t>
  </si>
  <si>
    <t>80%.</t>
  </si>
  <si>
    <t>100%.</t>
  </si>
  <si>
    <t>120%.</t>
  </si>
  <si>
    <t>Lao động nữ sinh con đủ điều kiện được trợ cấp một lần cho mỗi con bằng bao nhiêu lần mức lương cơ sở tại tháng sinh con?</t>
  </si>
  <si>
    <t>01 lần.</t>
  </si>
  <si>
    <t>02 lần.</t>
  </si>
  <si>
    <t>03 lần.</t>
  </si>
  <si>
    <t>04 lần.</t>
  </si>
  <si>
    <t>Thời gian lao động nữ nghỉ hưởng chế độ thai sản được tính về bảo hiểm xã hội như thế nào?</t>
  </si>
  <si>
    <t>Người lao động vẫn phải tự đóng toàn bộ phần bảo hiểm xã hội.</t>
  </si>
  <si>
    <t>Chỉ được tính một nửa thời gian nghỉ thai sản.</t>
  </si>
  <si>
    <t>Được tính là thời gian đóng bảo hiểm xã hội và người lao động, người sử dụng lao động không phải đóng bảo hiểm xã hội trong thời gian này.</t>
  </si>
  <si>
    <t>Không được tính là thời gian đóng và bị cắt giảm quyền lợi hưu trí.</t>
  </si>
  <si>
    <t>Hồ sơ hưởng chế độ thai sản khi lao động nữ sinh con thường có giấy tờ nào sau đây?</t>
  </si>
  <si>
    <t>Bản sao giấy chứng sinh hoặc bản sao giấy khai sinh của con.</t>
  </si>
  <si>
    <t>Bản kê khai tài sản của gia đình.</t>
  </si>
  <si>
    <t>Giấy đăng ký kết hôn của cha mẹ.</t>
  </si>
  <si>
    <t>Giấy xác nhận thu nhập của người thân.</t>
  </si>
  <si>
    <t>Khi giải quyết, chi trả chế độ thai sản cho lao động nữ trong đơn vị, bộ phận tài chính kế toán cần bảo đảm điều gì?</t>
  </si>
  <si>
    <t>Đúng đối tượng, đúng mức hưởng, đúng thời hạn, đủ hồ sơ và lưu trữ chứng từ.</t>
  </si>
  <si>
    <t>Chỉ chi cho người quen biết trong đơn vị.</t>
  </si>
  <si>
    <t>Chờ người lao động nhắc nhiều lần rồi mới chi.</t>
  </si>
  <si>
    <t>Chi theo thỏa thuận miệng, không cần hồ sơ.</t>
  </si>
  <si>
    <t>Lao động nữ mang thai từ tháng thứ 07 (không làm việc ở vùng cao, vùng sâu, vùng xa, biên giới, hải đảo) có được bố trí làm việc ban đêm, làm thêm giờ hoặc đi công tác xa không?</t>
  </si>
  <si>
    <t>kế hoạch kinh doanh</t>
  </si>
  <si>
    <t>Được, chỉ cần thông báo trước 24 giờ.</t>
  </si>
  <si>
    <t>Được, nếu doanh nghiệp trả lương gấp đôi.</t>
  </si>
  <si>
    <t>Được, nếu có yêu cầu đột xuất của sản xuất kinh doanh.</t>
  </si>
  <si>
    <t>Không được, người sử dụng lao động không được sử dụng lao động nữ làm các công việc này khi mang thai từ tháng thứ 07.</t>
  </si>
  <si>
    <t>Lao động nữ nuôi con dưới 12 tháng tuổi có thể được bố trí làm việc ban đêm, làm thêm giờ hoặc đi công tác xa trong trường hợp nào?</t>
  </si>
  <si>
    <t>Khi được sự đồng ý của người lao động.</t>
  </si>
  <si>
    <t>Khi doanh nghiệp có nhu cầu, không cần hỏi ý kiến.</t>
  </si>
  <si>
    <t>Không bao giờ, kể cả khi người lao động đồng ý.</t>
  </si>
  <si>
    <t>Chỉ khi người lao động đã nghỉ thai sản đủ 06 tháng.</t>
  </si>
  <si>
    <t>Khi lập kế hoạch tổ chức các hoạt động kỷ niệm ngày 20/10, nguyên tắc nào sau đây là phù hợp?</t>
  </si>
  <si>
    <t>Chỉ tổ chức cho các phòng ban có nhiều lao động nữ.</t>
  </si>
  <si>
    <t>Bắt buộc toàn bộ lao động nghỉ việc cả ngày để sinh hoạt.</t>
  </si>
  <si>
    <t>Tổ chức hoành tráng bất kể kinh phí.</t>
  </si>
  <si>
    <t>Thiết thực, tiết kiệm, đúng quy chế và không làm ảnh hưởng tiến độ sản xuất, kinh doanh.</t>
  </si>
  <si>
    <t>Khi xây dựng kế hoạch đào tạo, phát triển nguồn nhân lực, cách làm nào phù hợp với Luật Bình đẳng giới?</t>
  </si>
  <si>
    <t>Cơ hội đào tạo dựa vào giới tính của người lao động.</t>
  </si>
  <si>
    <t>Nam, nữ được đối xử bình đẳng về cơ hội đào tạo, thăng tiến khi có cùng năng lực và điều kiện.</t>
  </si>
  <si>
    <t>Chỉ đưa nam giới vào kế hoạch đào tạo nguồn.</t>
  </si>
  <si>
    <t>Nữ chỉ được đào tạo khi chưa lập gia đình.</t>
  </si>
  <si>
    <t>Theo Luật Bình đẳng giới, "biện pháp thúc đẩy bình đẳng giới" là gì?</t>
  </si>
  <si>
    <t>Biện pháp ưu tiên vĩnh viễn cho một giới trong mọi lĩnh vực.</t>
  </si>
  <si>
    <t>Biện pháp hạn chế quyền của nam giới để cân bằng.</t>
  </si>
  <si>
    <t>Biện pháp nhằm bảo đảm bình đẳng giới thực chất, được áp dụng trong một thời gian nhất định và chấm dứt khi mục tiêu bình đẳng giới đã đạt được.</t>
  </si>
  <si>
    <t>Biện pháp chỉ áp dụng cho cơ quan nhà nước, không áp dụng cho doanh nghiệp.</t>
  </si>
  <si>
    <t>Cột</t>
  </si>
  <si>
    <t>Giải thích</t>
  </si>
  <si>
    <t>Toàn bộ file dùng chung 1 chủ đề: "20/10".</t>
  </si>
  <si>
    <t>Nội dung câu hỏi.</t>
  </si>
  <si>
    <t>Lý thuyết hoặc Bài tập.</t>
  </si>
  <si>
    <t>Dễ / Trung bình / Khó.</t>
  </si>
  <si>
    <t>Chọn 1 (single) hoặc Chọn nhiều (multiple).</t>
  </si>
  <si>
    <t>Chung (mọi bộ phận) hoặc Riêng (thuộc 1 bộ phận cụ thể).</t>
  </si>
  <si>
    <t>Bắt buộc nếu Phạm vi = Riêng. Phải là tên bộ phận ĐÃ TỒN TẠI trong hệ thống (đúng chính tả, kể cả chữ hoa/thường).</t>
  </si>
  <si>
    <t>Lựa chọn 1-8</t>
  </si>
  <si>
    <t>Nội dung các phương án trả lời.</t>
  </si>
  <si>
    <t>Số thứ tự phương án đúng, cách nhau dấu , hoặc ; (vd: 2 hoặc 1,3).</t>
  </si>
  <si>
    <t>Thống kê file này</t>
  </si>
  <si>
    <t>Tổng số câu</t>
  </si>
  <si>
    <t>Câu Chung</t>
  </si>
  <si>
    <t>Câu Riêng</t>
  </si>
  <si>
    <t>Số bộ phận có câu Riêng</t>
  </si>
  <si>
    <t>Câu Dễ</t>
  </si>
  <si>
    <t>Câu Trung bình</t>
  </si>
  <si>
    <t>Câu Khó</t>
  </si>
  <si>
    <t>Câu Chọn nhiều</t>
  </si>
  <si>
    <t>Ngày phụ nữ Việt Nam 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</si>
</sst>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charset val="1"/>
    </font>
    <font>
      <sz val="10"/>
      <name val="Arial"/>
      <charset val="1"/>
    </font>
    <font>
      <b/>
      <sz val="10"/>
      <name val="Arial"/>
      <charset val="1"/>
    </font>
    <font>
      <sz val="8"/>
      <name val="Calibri"/>
      <family val="2"/>
      <charset val="1"/>
    </font>
  </fonts>
  <fills count="3">
    <fill>
      <patternFill patternType="none"/>
    </fill>
    <fill>
      <patternFill patternType="gray125"/>
    </fill>
    <fill>
      <patternFill patternType="solid">
        <fgColor rgb="FF1F4E79"/>
        <bgColor rgb="FF003366"/>
      </patternFill>
    </fill>
  </fills>
  <borders count="2">
    <border>
      <left/>
      <right/>
      <top/>
      <bottom/>
      <diagonal/>
    </border>
    <border>
      <left style="thin">
        <color rgb="FFBFC9D6"/>
      </left>
      <right style="thin">
        <color rgb="FFBFC9D6"/>
      </right>
      <top style="thin">
        <color rgb="FFBFC9D6"/>
      </top>
      <bottom style="thin">
        <color rgb="FFBFC9D6"/>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49" fontId="2" fillId="0" borderId="1" xfId="0" applyNumberFormat="1" applyFont="1" applyBorder="1" applyAlignment="1">
      <alignment horizontal="center" vertical="top" wrapText="1"/>
    </xf>
    <xf numFmtId="0" fontId="1" fillId="2"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abSelected="1" zoomScaleNormal="100" workbookViewId="0">
      <pane xSplit="2" ySplit="1" topLeftCell="C2" activePane="bottomRight" state="frozen"/>
      <selection pane="topRight" activeCell="C1" sqref="C1"/>
      <selection pane="bottomLeft" activeCell="A2" sqref="A2"/>
      <selection pane="bottomRight" activeCell="C4" sqref="C4"/>
    </sheetView>
  </sheetViews>
  <sheetFormatPr defaultColWidth="8.6640625" defaultRowHeight="14.4" x14ac:dyDescent="0.3"/>
  <cols>
    <col min="1" max="1" width="30" customWidth="1"/>
    <col min="2" max="2" width="58" customWidth="1"/>
    <col min="3" max="3" width="11" customWidth="1"/>
    <col min="4" max="5" width="12" customWidth="1"/>
    <col min="6" max="6" width="9" customWidth="1"/>
    <col min="7" max="7" width="22" customWidth="1"/>
    <col min="8" max="15" width="34" customWidth="1"/>
    <col min="16" max="16" width="12" customWidth="1"/>
  </cols>
  <sheetData>
    <row r="1" spans="1:16" ht="24"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33" customHeight="1" x14ac:dyDescent="0.3">
      <c r="A2" s="2" t="s">
        <v>304</v>
      </c>
      <c r="B2" s="2" t="s">
        <v>17</v>
      </c>
      <c r="C2" s="3" t="s">
        <v>18</v>
      </c>
      <c r="D2" s="3" t="s">
        <v>19</v>
      </c>
      <c r="E2" s="3" t="s">
        <v>20</v>
      </c>
      <c r="F2" s="3" t="s">
        <v>21</v>
      </c>
      <c r="G2" s="2"/>
      <c r="H2" s="2" t="s">
        <v>22</v>
      </c>
      <c r="I2" s="2" t="s">
        <v>16</v>
      </c>
      <c r="J2" s="2" t="s">
        <v>23</v>
      </c>
      <c r="K2" s="2" t="s">
        <v>24</v>
      </c>
      <c r="L2" s="2"/>
      <c r="M2" s="2"/>
      <c r="N2" s="2"/>
      <c r="O2" s="2"/>
      <c r="P2" s="4" t="s">
        <v>25</v>
      </c>
    </row>
    <row r="3" spans="1:16" ht="40.5" customHeight="1" x14ac:dyDescent="0.3">
      <c r="A3" s="2" t="s">
        <v>304</v>
      </c>
      <c r="B3" s="2" t="s">
        <v>26</v>
      </c>
      <c r="C3" s="3" t="s">
        <v>18</v>
      </c>
      <c r="D3" s="3" t="s">
        <v>27</v>
      </c>
      <c r="E3" s="3" t="s">
        <v>20</v>
      </c>
      <c r="F3" s="3" t="s">
        <v>21</v>
      </c>
      <c r="G3" s="2"/>
      <c r="H3" s="2" t="s">
        <v>28</v>
      </c>
      <c r="I3" s="2" t="s">
        <v>29</v>
      </c>
      <c r="J3" s="2" t="s">
        <v>30</v>
      </c>
      <c r="K3" s="2" t="s">
        <v>31</v>
      </c>
      <c r="L3" s="2"/>
      <c r="M3" s="2"/>
      <c r="N3" s="2"/>
      <c r="O3" s="2"/>
      <c r="P3" s="4" t="s">
        <v>32</v>
      </c>
    </row>
    <row r="4" spans="1:16" ht="74.25" customHeight="1" x14ac:dyDescent="0.3">
      <c r="A4" s="2" t="s">
        <v>304</v>
      </c>
      <c r="B4" s="2" t="s">
        <v>33</v>
      </c>
      <c r="C4" s="3" t="s">
        <v>18</v>
      </c>
      <c r="D4" s="3" t="s">
        <v>27</v>
      </c>
      <c r="E4" s="3" t="s">
        <v>20</v>
      </c>
      <c r="F4" s="3" t="s">
        <v>21</v>
      </c>
      <c r="G4" s="2"/>
      <c r="H4" s="2" t="s">
        <v>34</v>
      </c>
      <c r="I4" s="2" t="s">
        <v>35</v>
      </c>
      <c r="J4" s="2" t="s">
        <v>36</v>
      </c>
      <c r="K4" s="2" t="s">
        <v>37</v>
      </c>
      <c r="L4" s="2"/>
      <c r="M4" s="2"/>
      <c r="N4" s="2"/>
      <c r="O4" s="2"/>
      <c r="P4" s="4" t="s">
        <v>38</v>
      </c>
    </row>
    <row r="5" spans="1:16" ht="33" customHeight="1" x14ac:dyDescent="0.3">
      <c r="A5" s="2" t="s">
        <v>304</v>
      </c>
      <c r="B5" s="2" t="s">
        <v>39</v>
      </c>
      <c r="C5" s="3" t="s">
        <v>18</v>
      </c>
      <c r="D5" s="3" t="s">
        <v>19</v>
      </c>
      <c r="E5" s="3" t="s">
        <v>20</v>
      </c>
      <c r="F5" s="3" t="s">
        <v>21</v>
      </c>
      <c r="G5" s="2"/>
      <c r="H5" s="2" t="s">
        <v>40</v>
      </c>
      <c r="I5" s="2" t="s">
        <v>41</v>
      </c>
      <c r="J5" s="2" t="s">
        <v>42</v>
      </c>
      <c r="K5" s="2" t="s">
        <v>43</v>
      </c>
      <c r="L5" s="2"/>
      <c r="M5" s="2"/>
      <c r="N5" s="2"/>
      <c r="O5" s="2"/>
      <c r="P5" s="4" t="s">
        <v>38</v>
      </c>
    </row>
    <row r="6" spans="1:16" ht="51.75" customHeight="1" x14ac:dyDescent="0.3">
      <c r="A6" s="2" t="s">
        <v>304</v>
      </c>
      <c r="B6" s="2" t="s">
        <v>44</v>
      </c>
      <c r="C6" s="3" t="s">
        <v>18</v>
      </c>
      <c r="D6" s="3" t="s">
        <v>45</v>
      </c>
      <c r="E6" s="3" t="s">
        <v>20</v>
      </c>
      <c r="F6" s="3" t="s">
        <v>21</v>
      </c>
      <c r="G6" s="2"/>
      <c r="H6" s="2" t="s">
        <v>46</v>
      </c>
      <c r="I6" s="2" t="s">
        <v>47</v>
      </c>
      <c r="J6" s="2" t="s">
        <v>48</v>
      </c>
      <c r="K6" s="2" t="s">
        <v>49</v>
      </c>
      <c r="L6" s="2"/>
      <c r="M6" s="2"/>
      <c r="N6" s="2"/>
      <c r="O6" s="2"/>
      <c r="P6" s="4" t="s">
        <v>38</v>
      </c>
    </row>
    <row r="7" spans="1:16" ht="51.75" customHeight="1" x14ac:dyDescent="0.3">
      <c r="A7" s="2" t="s">
        <v>304</v>
      </c>
      <c r="B7" s="2" t="s">
        <v>50</v>
      </c>
      <c r="C7" s="3" t="s">
        <v>18</v>
      </c>
      <c r="D7" s="3" t="s">
        <v>19</v>
      </c>
      <c r="E7" s="3" t="s">
        <v>20</v>
      </c>
      <c r="F7" s="3" t="s">
        <v>51</v>
      </c>
      <c r="G7" s="2" t="s">
        <v>52</v>
      </c>
      <c r="H7" s="2" t="s">
        <v>53</v>
      </c>
      <c r="I7" s="2" t="s">
        <v>54</v>
      </c>
      <c r="J7" s="2" t="s">
        <v>55</v>
      </c>
      <c r="K7" s="2" t="s">
        <v>56</v>
      </c>
      <c r="L7" s="2"/>
      <c r="M7" s="2"/>
      <c r="N7" s="2"/>
      <c r="O7" s="2"/>
      <c r="P7" s="4" t="s">
        <v>57</v>
      </c>
    </row>
    <row r="8" spans="1:16" ht="40.5" customHeight="1" x14ac:dyDescent="0.3">
      <c r="A8" s="2" t="s">
        <v>304</v>
      </c>
      <c r="B8" s="2" t="s">
        <v>58</v>
      </c>
      <c r="C8" s="3" t="s">
        <v>18</v>
      </c>
      <c r="D8" s="3" t="s">
        <v>27</v>
      </c>
      <c r="E8" s="3" t="s">
        <v>20</v>
      </c>
      <c r="F8" s="3" t="s">
        <v>51</v>
      </c>
      <c r="G8" s="2" t="s">
        <v>52</v>
      </c>
      <c r="H8" s="2" t="s">
        <v>59</v>
      </c>
      <c r="I8" s="2" t="s">
        <v>60</v>
      </c>
      <c r="J8" s="2" t="s">
        <v>61</v>
      </c>
      <c r="K8" s="2" t="s">
        <v>62</v>
      </c>
      <c r="L8" s="2"/>
      <c r="M8" s="2"/>
      <c r="N8" s="2"/>
      <c r="O8" s="2"/>
      <c r="P8" s="4" t="s">
        <v>38</v>
      </c>
    </row>
    <row r="9" spans="1:16" ht="33" customHeight="1" x14ac:dyDescent="0.3">
      <c r="A9" s="2" t="s">
        <v>304</v>
      </c>
      <c r="B9" s="2" t="s">
        <v>63</v>
      </c>
      <c r="C9" s="3" t="s">
        <v>18</v>
      </c>
      <c r="D9" s="3" t="s">
        <v>27</v>
      </c>
      <c r="E9" s="3" t="s">
        <v>20</v>
      </c>
      <c r="F9" s="3" t="s">
        <v>51</v>
      </c>
      <c r="G9" s="2" t="s">
        <v>52</v>
      </c>
      <c r="H9" s="2" t="s">
        <v>64</v>
      </c>
      <c r="I9" s="2" t="s">
        <v>65</v>
      </c>
      <c r="J9" s="2" t="s">
        <v>66</v>
      </c>
      <c r="K9" s="2" t="s">
        <v>67</v>
      </c>
      <c r="L9" s="2"/>
      <c r="M9" s="2"/>
      <c r="N9" s="2"/>
      <c r="O9" s="2"/>
      <c r="P9" s="4" t="s">
        <v>32</v>
      </c>
    </row>
    <row r="10" spans="1:16" ht="40.5" customHeight="1" x14ac:dyDescent="0.3">
      <c r="A10" s="2" t="s">
        <v>304</v>
      </c>
      <c r="B10" s="2" t="s">
        <v>68</v>
      </c>
      <c r="C10" s="3" t="s">
        <v>18</v>
      </c>
      <c r="D10" s="3" t="s">
        <v>27</v>
      </c>
      <c r="E10" s="3" t="s">
        <v>20</v>
      </c>
      <c r="F10" s="3" t="s">
        <v>51</v>
      </c>
      <c r="G10" s="2" t="s">
        <v>52</v>
      </c>
      <c r="H10" s="2" t="s">
        <v>61</v>
      </c>
      <c r="I10" s="2" t="s">
        <v>69</v>
      </c>
      <c r="J10" s="2" t="s">
        <v>62</v>
      </c>
      <c r="K10" s="2" t="s">
        <v>70</v>
      </c>
      <c r="L10" s="2"/>
      <c r="M10" s="2"/>
      <c r="N10" s="2"/>
      <c r="O10" s="2"/>
      <c r="P10" s="4" t="s">
        <v>38</v>
      </c>
    </row>
    <row r="11" spans="1:16" ht="40.5" customHeight="1" x14ac:dyDescent="0.3">
      <c r="A11" s="2" t="s">
        <v>304</v>
      </c>
      <c r="B11" s="2" t="s">
        <v>71</v>
      </c>
      <c r="C11" s="3" t="s">
        <v>18</v>
      </c>
      <c r="D11" s="3" t="s">
        <v>19</v>
      </c>
      <c r="E11" s="3" t="s">
        <v>20</v>
      </c>
      <c r="F11" s="3" t="s">
        <v>51</v>
      </c>
      <c r="G11" s="2" t="s">
        <v>52</v>
      </c>
      <c r="H11" s="2" t="s">
        <v>72</v>
      </c>
      <c r="I11" s="2" t="s">
        <v>73</v>
      </c>
      <c r="J11" s="2" t="s">
        <v>74</v>
      </c>
      <c r="K11" s="2" t="s">
        <v>75</v>
      </c>
      <c r="L11" s="2"/>
      <c r="M11" s="2"/>
      <c r="N11" s="2"/>
      <c r="O11" s="2"/>
      <c r="P11" s="4" t="s">
        <v>38</v>
      </c>
    </row>
    <row r="12" spans="1:16" ht="51.75" customHeight="1" x14ac:dyDescent="0.3">
      <c r="A12" s="2" t="s">
        <v>304</v>
      </c>
      <c r="B12" s="2" t="s">
        <v>76</v>
      </c>
      <c r="C12" s="3" t="s">
        <v>18</v>
      </c>
      <c r="D12" s="3" t="s">
        <v>19</v>
      </c>
      <c r="E12" s="3" t="s">
        <v>20</v>
      </c>
      <c r="F12" s="3" t="s">
        <v>51</v>
      </c>
      <c r="G12" s="2" t="s">
        <v>77</v>
      </c>
      <c r="H12" s="2" t="s">
        <v>78</v>
      </c>
      <c r="I12" s="2" t="s">
        <v>79</v>
      </c>
      <c r="J12" s="2" t="s">
        <v>80</v>
      </c>
      <c r="K12" s="2" t="s">
        <v>81</v>
      </c>
      <c r="L12" s="2"/>
      <c r="M12" s="2"/>
      <c r="N12" s="2"/>
      <c r="O12" s="2"/>
      <c r="P12" s="4" t="s">
        <v>25</v>
      </c>
    </row>
    <row r="13" spans="1:16" ht="40.5" customHeight="1" x14ac:dyDescent="0.3">
      <c r="A13" s="2" t="s">
        <v>304</v>
      </c>
      <c r="B13" s="2" t="s">
        <v>82</v>
      </c>
      <c r="C13" s="3" t="s">
        <v>18</v>
      </c>
      <c r="D13" s="3" t="s">
        <v>19</v>
      </c>
      <c r="E13" s="3" t="s">
        <v>20</v>
      </c>
      <c r="F13" s="3" t="s">
        <v>51</v>
      </c>
      <c r="G13" s="2" t="s">
        <v>77</v>
      </c>
      <c r="H13" s="2" t="s">
        <v>83</v>
      </c>
      <c r="I13" s="2" t="s">
        <v>84</v>
      </c>
      <c r="J13" s="2" t="s">
        <v>85</v>
      </c>
      <c r="K13" s="2" t="s">
        <v>86</v>
      </c>
      <c r="L13" s="2"/>
      <c r="M13" s="2"/>
      <c r="N13" s="2"/>
      <c r="O13" s="2"/>
      <c r="P13" s="4" t="s">
        <v>25</v>
      </c>
    </row>
    <row r="14" spans="1:16" ht="40.5" customHeight="1" x14ac:dyDescent="0.3">
      <c r="A14" s="2" t="s">
        <v>304</v>
      </c>
      <c r="B14" s="2" t="s">
        <v>87</v>
      </c>
      <c r="C14" s="3" t="s">
        <v>18</v>
      </c>
      <c r="D14" s="3" t="s">
        <v>27</v>
      </c>
      <c r="E14" s="3" t="s">
        <v>20</v>
      </c>
      <c r="F14" s="3" t="s">
        <v>51</v>
      </c>
      <c r="G14" s="2" t="s">
        <v>77</v>
      </c>
      <c r="H14" s="2" t="s">
        <v>88</v>
      </c>
      <c r="I14" s="2" t="s">
        <v>89</v>
      </c>
      <c r="J14" s="2" t="s">
        <v>90</v>
      </c>
      <c r="K14" s="2" t="s">
        <v>91</v>
      </c>
      <c r="L14" s="2"/>
      <c r="M14" s="2"/>
      <c r="N14" s="2"/>
      <c r="O14" s="2"/>
      <c r="P14" s="4" t="s">
        <v>38</v>
      </c>
    </row>
    <row r="15" spans="1:16" ht="40.5" customHeight="1" x14ac:dyDescent="0.3">
      <c r="A15" s="2" t="s">
        <v>304</v>
      </c>
      <c r="B15" s="2" t="s">
        <v>92</v>
      </c>
      <c r="C15" s="3" t="s">
        <v>18</v>
      </c>
      <c r="D15" s="3" t="s">
        <v>27</v>
      </c>
      <c r="E15" s="3" t="s">
        <v>20</v>
      </c>
      <c r="F15" s="3" t="s">
        <v>51</v>
      </c>
      <c r="G15" s="2" t="s">
        <v>77</v>
      </c>
      <c r="H15" s="2" t="s">
        <v>93</v>
      </c>
      <c r="I15" s="2" t="s">
        <v>94</v>
      </c>
      <c r="J15" s="2" t="s">
        <v>95</v>
      </c>
      <c r="K15" s="2" t="s">
        <v>96</v>
      </c>
      <c r="L15" s="2"/>
      <c r="M15" s="2"/>
      <c r="N15" s="2"/>
      <c r="O15" s="2"/>
      <c r="P15" s="4" t="s">
        <v>25</v>
      </c>
    </row>
    <row r="16" spans="1:16" ht="40.5" customHeight="1" x14ac:dyDescent="0.3">
      <c r="A16" s="2" t="s">
        <v>304</v>
      </c>
      <c r="B16" s="2" t="s">
        <v>97</v>
      </c>
      <c r="C16" s="3" t="s">
        <v>18</v>
      </c>
      <c r="D16" s="3" t="s">
        <v>45</v>
      </c>
      <c r="E16" s="3" t="s">
        <v>20</v>
      </c>
      <c r="F16" s="3" t="s">
        <v>51</v>
      </c>
      <c r="G16" s="2" t="s">
        <v>77</v>
      </c>
      <c r="H16" s="2" t="s">
        <v>98</v>
      </c>
      <c r="I16" s="2" t="s">
        <v>99</v>
      </c>
      <c r="J16" s="2" t="s">
        <v>100</v>
      </c>
      <c r="K16" s="2" t="s">
        <v>101</v>
      </c>
      <c r="L16" s="2"/>
      <c r="M16" s="2"/>
      <c r="N16" s="2"/>
      <c r="O16" s="2"/>
      <c r="P16" s="4" t="s">
        <v>32</v>
      </c>
    </row>
    <row r="17" spans="1:16" ht="40.5" customHeight="1" x14ac:dyDescent="0.3">
      <c r="A17" s="2" t="s">
        <v>304</v>
      </c>
      <c r="B17" s="2" t="s">
        <v>102</v>
      </c>
      <c r="C17" s="3" t="s">
        <v>18</v>
      </c>
      <c r="D17" s="3" t="s">
        <v>27</v>
      </c>
      <c r="E17" s="3" t="s">
        <v>20</v>
      </c>
      <c r="F17" s="3" t="s">
        <v>51</v>
      </c>
      <c r="G17" s="2" t="s">
        <v>103</v>
      </c>
      <c r="H17" s="2" t="s">
        <v>104</v>
      </c>
      <c r="I17" s="2" t="s">
        <v>105</v>
      </c>
      <c r="J17" s="2" t="s">
        <v>106</v>
      </c>
      <c r="K17" s="2" t="s">
        <v>107</v>
      </c>
      <c r="L17" s="2"/>
      <c r="M17" s="2"/>
      <c r="N17" s="2"/>
      <c r="O17" s="2"/>
      <c r="P17" s="4" t="s">
        <v>25</v>
      </c>
    </row>
    <row r="18" spans="1:16" ht="63" customHeight="1" x14ac:dyDescent="0.3">
      <c r="A18" s="2" t="s">
        <v>304</v>
      </c>
      <c r="B18" s="2" t="s">
        <v>108</v>
      </c>
      <c r="C18" s="3" t="s">
        <v>18</v>
      </c>
      <c r="D18" s="3" t="s">
        <v>27</v>
      </c>
      <c r="E18" s="3" t="s">
        <v>20</v>
      </c>
      <c r="F18" s="3" t="s">
        <v>51</v>
      </c>
      <c r="G18" s="2" t="s">
        <v>103</v>
      </c>
      <c r="H18" s="2" t="s">
        <v>109</v>
      </c>
      <c r="I18" s="2" t="s">
        <v>110</v>
      </c>
      <c r="J18" s="2" t="s">
        <v>111</v>
      </c>
      <c r="K18" s="2" t="s">
        <v>112</v>
      </c>
      <c r="L18" s="2"/>
      <c r="M18" s="2"/>
      <c r="N18" s="2"/>
      <c r="O18" s="2"/>
      <c r="P18" s="4" t="s">
        <v>57</v>
      </c>
    </row>
    <row r="19" spans="1:16" ht="40.5" customHeight="1" x14ac:dyDescent="0.3">
      <c r="A19" s="2" t="s">
        <v>304</v>
      </c>
      <c r="B19" s="2" t="s">
        <v>113</v>
      </c>
      <c r="C19" s="3" t="s">
        <v>18</v>
      </c>
      <c r="D19" s="3" t="s">
        <v>45</v>
      </c>
      <c r="E19" s="3" t="s">
        <v>20</v>
      </c>
      <c r="F19" s="3" t="s">
        <v>51</v>
      </c>
      <c r="G19" s="2" t="s">
        <v>103</v>
      </c>
      <c r="H19" s="2" t="s">
        <v>114</v>
      </c>
      <c r="I19" s="2" t="s">
        <v>115</v>
      </c>
      <c r="J19" s="2" t="s">
        <v>116</v>
      </c>
      <c r="K19" s="2" t="s">
        <v>117</v>
      </c>
      <c r="L19" s="2"/>
      <c r="M19" s="2"/>
      <c r="N19" s="2"/>
      <c r="O19" s="2"/>
      <c r="P19" s="4" t="s">
        <v>25</v>
      </c>
    </row>
    <row r="20" spans="1:16" ht="33" customHeight="1" x14ac:dyDescent="0.3">
      <c r="A20" s="2" t="s">
        <v>304</v>
      </c>
      <c r="B20" s="2" t="s">
        <v>118</v>
      </c>
      <c r="C20" s="3" t="s">
        <v>18</v>
      </c>
      <c r="D20" s="3" t="s">
        <v>27</v>
      </c>
      <c r="E20" s="3" t="s">
        <v>20</v>
      </c>
      <c r="F20" s="3" t="s">
        <v>51</v>
      </c>
      <c r="G20" s="2" t="s">
        <v>103</v>
      </c>
      <c r="H20" s="2" t="s">
        <v>119</v>
      </c>
      <c r="I20" s="2" t="s">
        <v>120</v>
      </c>
      <c r="J20" s="2" t="s">
        <v>121</v>
      </c>
      <c r="K20" s="2" t="s">
        <v>122</v>
      </c>
      <c r="L20" s="2"/>
      <c r="M20" s="2"/>
      <c r="N20" s="2"/>
      <c r="O20" s="2"/>
      <c r="P20" s="4" t="s">
        <v>38</v>
      </c>
    </row>
    <row r="21" spans="1:16" ht="40.5" customHeight="1" x14ac:dyDescent="0.3">
      <c r="A21" s="2" t="s">
        <v>304</v>
      </c>
      <c r="B21" s="2" t="s">
        <v>123</v>
      </c>
      <c r="C21" s="3" t="s">
        <v>18</v>
      </c>
      <c r="D21" s="3" t="s">
        <v>19</v>
      </c>
      <c r="E21" s="3" t="s">
        <v>20</v>
      </c>
      <c r="F21" s="3" t="s">
        <v>51</v>
      </c>
      <c r="G21" s="2" t="s">
        <v>103</v>
      </c>
      <c r="H21" s="2" t="s">
        <v>124</v>
      </c>
      <c r="I21" s="2" t="s">
        <v>125</v>
      </c>
      <c r="J21" s="2" t="s">
        <v>126</v>
      </c>
      <c r="K21" s="2" t="s">
        <v>127</v>
      </c>
      <c r="L21" s="2"/>
      <c r="M21" s="2"/>
      <c r="N21" s="2"/>
      <c r="O21" s="2"/>
      <c r="P21" s="4" t="s">
        <v>32</v>
      </c>
    </row>
    <row r="22" spans="1:16" ht="40.5" customHeight="1" x14ac:dyDescent="0.3">
      <c r="A22" s="2" t="s">
        <v>304</v>
      </c>
      <c r="B22" s="2" t="s">
        <v>128</v>
      </c>
      <c r="C22" s="3" t="s">
        <v>18</v>
      </c>
      <c r="D22" s="3" t="s">
        <v>27</v>
      </c>
      <c r="E22" s="3" t="s">
        <v>20</v>
      </c>
      <c r="F22" s="3" t="s">
        <v>51</v>
      </c>
      <c r="G22" s="2" t="s">
        <v>129</v>
      </c>
      <c r="H22" s="2" t="s">
        <v>130</v>
      </c>
      <c r="I22" s="2" t="s">
        <v>131</v>
      </c>
      <c r="J22" s="2" t="s">
        <v>132</v>
      </c>
      <c r="K22" s="2" t="s">
        <v>133</v>
      </c>
      <c r="L22" s="2"/>
      <c r="M22" s="2"/>
      <c r="N22" s="2"/>
      <c r="O22" s="2"/>
      <c r="P22" s="4" t="s">
        <v>32</v>
      </c>
    </row>
    <row r="23" spans="1:16" ht="33" customHeight="1" x14ac:dyDescent="0.3">
      <c r="A23" s="2" t="s">
        <v>304</v>
      </c>
      <c r="B23" s="2" t="s">
        <v>134</v>
      </c>
      <c r="C23" s="3" t="s">
        <v>18</v>
      </c>
      <c r="D23" s="3" t="s">
        <v>19</v>
      </c>
      <c r="E23" s="3" t="s">
        <v>20</v>
      </c>
      <c r="F23" s="3" t="s">
        <v>51</v>
      </c>
      <c r="G23" s="2" t="s">
        <v>129</v>
      </c>
      <c r="H23" s="2" t="s">
        <v>135</v>
      </c>
      <c r="I23" s="2" t="s">
        <v>136</v>
      </c>
      <c r="J23" s="2" t="s">
        <v>137</v>
      </c>
      <c r="K23" s="2" t="s">
        <v>138</v>
      </c>
      <c r="L23" s="2"/>
      <c r="M23" s="2"/>
      <c r="N23" s="2"/>
      <c r="O23" s="2"/>
      <c r="P23" s="4" t="s">
        <v>25</v>
      </c>
    </row>
    <row r="24" spans="1:16" ht="33" customHeight="1" x14ac:dyDescent="0.3">
      <c r="A24" s="2" t="s">
        <v>304</v>
      </c>
      <c r="B24" s="2" t="s">
        <v>139</v>
      </c>
      <c r="C24" s="3" t="s">
        <v>18</v>
      </c>
      <c r="D24" s="3" t="s">
        <v>27</v>
      </c>
      <c r="E24" s="3" t="s">
        <v>20</v>
      </c>
      <c r="F24" s="3" t="s">
        <v>51</v>
      </c>
      <c r="G24" s="2" t="s">
        <v>129</v>
      </c>
      <c r="H24" s="2" t="s">
        <v>140</v>
      </c>
      <c r="I24" s="2" t="s">
        <v>141</v>
      </c>
      <c r="J24" s="2" t="s">
        <v>142</v>
      </c>
      <c r="K24" s="2" t="s">
        <v>143</v>
      </c>
      <c r="L24" s="2"/>
      <c r="M24" s="2"/>
      <c r="N24" s="2"/>
      <c r="O24" s="2"/>
      <c r="P24" s="4" t="s">
        <v>57</v>
      </c>
    </row>
    <row r="25" spans="1:16" ht="40.5" customHeight="1" x14ac:dyDescent="0.3">
      <c r="A25" s="2" t="s">
        <v>304</v>
      </c>
      <c r="B25" s="2" t="s">
        <v>144</v>
      </c>
      <c r="C25" s="3" t="s">
        <v>18</v>
      </c>
      <c r="D25" s="3" t="s">
        <v>27</v>
      </c>
      <c r="E25" s="3" t="s">
        <v>20</v>
      </c>
      <c r="F25" s="3" t="s">
        <v>51</v>
      </c>
      <c r="G25" s="2" t="s">
        <v>129</v>
      </c>
      <c r="H25" s="2" t="s">
        <v>145</v>
      </c>
      <c r="I25" s="2" t="s">
        <v>146</v>
      </c>
      <c r="J25" s="2" t="s">
        <v>147</v>
      </c>
      <c r="K25" s="2" t="s">
        <v>148</v>
      </c>
      <c r="L25" s="2"/>
      <c r="M25" s="2"/>
      <c r="N25" s="2"/>
      <c r="O25" s="2"/>
      <c r="P25" s="4" t="s">
        <v>57</v>
      </c>
    </row>
    <row r="26" spans="1:16" ht="40.5" customHeight="1" x14ac:dyDescent="0.3">
      <c r="A26" s="2" t="s">
        <v>304</v>
      </c>
      <c r="B26" s="2" t="s">
        <v>149</v>
      </c>
      <c r="C26" s="3" t="s">
        <v>18</v>
      </c>
      <c r="D26" s="3" t="s">
        <v>27</v>
      </c>
      <c r="E26" s="3" t="s">
        <v>20</v>
      </c>
      <c r="F26" s="3" t="s">
        <v>51</v>
      </c>
      <c r="G26" s="2" t="s">
        <v>129</v>
      </c>
      <c r="H26" s="2" t="s">
        <v>150</v>
      </c>
      <c r="I26" s="2" t="s">
        <v>151</v>
      </c>
      <c r="J26" s="2" t="s">
        <v>152</v>
      </c>
      <c r="K26" s="2" t="s">
        <v>153</v>
      </c>
      <c r="L26" s="2"/>
      <c r="M26" s="2"/>
      <c r="N26" s="2"/>
      <c r="O26" s="2"/>
      <c r="P26" s="4" t="s">
        <v>32</v>
      </c>
    </row>
    <row r="27" spans="1:16" ht="40.5" customHeight="1" x14ac:dyDescent="0.3">
      <c r="A27" s="2" t="s">
        <v>304</v>
      </c>
      <c r="B27" s="2" t="s">
        <v>154</v>
      </c>
      <c r="C27" s="3" t="s">
        <v>18</v>
      </c>
      <c r="D27" s="3" t="s">
        <v>19</v>
      </c>
      <c r="E27" s="3" t="s">
        <v>20</v>
      </c>
      <c r="F27" s="3" t="s">
        <v>51</v>
      </c>
      <c r="G27" s="2" t="s">
        <v>155</v>
      </c>
      <c r="H27" s="2" t="s">
        <v>156</v>
      </c>
      <c r="I27" s="2" t="s">
        <v>157</v>
      </c>
      <c r="J27" s="2" t="s">
        <v>158</v>
      </c>
      <c r="K27" s="2" t="s">
        <v>159</v>
      </c>
      <c r="L27" s="2"/>
      <c r="M27" s="2"/>
      <c r="N27" s="2"/>
      <c r="O27" s="2"/>
      <c r="P27" s="4" t="s">
        <v>38</v>
      </c>
    </row>
    <row r="28" spans="1:16" ht="40.5" customHeight="1" x14ac:dyDescent="0.3">
      <c r="A28" s="2" t="s">
        <v>304</v>
      </c>
      <c r="B28" s="2" t="s">
        <v>160</v>
      </c>
      <c r="C28" s="3" t="s">
        <v>18</v>
      </c>
      <c r="D28" s="3" t="s">
        <v>19</v>
      </c>
      <c r="E28" s="3" t="s">
        <v>20</v>
      </c>
      <c r="F28" s="3" t="s">
        <v>51</v>
      </c>
      <c r="G28" s="2" t="s">
        <v>155</v>
      </c>
      <c r="H28" s="2" t="s">
        <v>161</v>
      </c>
      <c r="I28" s="2" t="s">
        <v>162</v>
      </c>
      <c r="J28" s="2" t="s">
        <v>163</v>
      </c>
      <c r="K28" s="2" t="s">
        <v>164</v>
      </c>
      <c r="L28" s="2"/>
      <c r="M28" s="2"/>
      <c r="N28" s="2"/>
      <c r="O28" s="2"/>
      <c r="P28" s="4" t="s">
        <v>32</v>
      </c>
    </row>
    <row r="29" spans="1:16" ht="40.5" customHeight="1" x14ac:dyDescent="0.3">
      <c r="A29" s="2" t="s">
        <v>304</v>
      </c>
      <c r="B29" s="2" t="s">
        <v>165</v>
      </c>
      <c r="C29" s="3" t="s">
        <v>18</v>
      </c>
      <c r="D29" s="3" t="s">
        <v>27</v>
      </c>
      <c r="E29" s="3" t="s">
        <v>20</v>
      </c>
      <c r="F29" s="3" t="s">
        <v>51</v>
      </c>
      <c r="G29" s="2" t="s">
        <v>155</v>
      </c>
      <c r="H29" s="2" t="s">
        <v>166</v>
      </c>
      <c r="I29" s="2" t="s">
        <v>167</v>
      </c>
      <c r="J29" s="2" t="s">
        <v>168</v>
      </c>
      <c r="K29" s="2" t="s">
        <v>169</v>
      </c>
      <c r="L29" s="2"/>
      <c r="M29" s="2"/>
      <c r="N29" s="2"/>
      <c r="O29" s="2"/>
      <c r="P29" s="4" t="s">
        <v>32</v>
      </c>
    </row>
    <row r="30" spans="1:16" ht="40.5" customHeight="1" x14ac:dyDescent="0.3">
      <c r="A30" s="2" t="s">
        <v>304</v>
      </c>
      <c r="B30" s="2" t="s">
        <v>170</v>
      </c>
      <c r="C30" s="3" t="s">
        <v>18</v>
      </c>
      <c r="D30" s="3" t="s">
        <v>27</v>
      </c>
      <c r="E30" s="3" t="s">
        <v>20</v>
      </c>
      <c r="F30" s="3" t="s">
        <v>51</v>
      </c>
      <c r="G30" s="2" t="s">
        <v>155</v>
      </c>
      <c r="H30" s="2" t="s">
        <v>171</v>
      </c>
      <c r="I30" s="2" t="s">
        <v>172</v>
      </c>
      <c r="J30" s="2" t="s">
        <v>173</v>
      </c>
      <c r="K30" s="2" t="s">
        <v>174</v>
      </c>
      <c r="L30" s="2"/>
      <c r="M30" s="2"/>
      <c r="N30" s="2"/>
      <c r="O30" s="2"/>
      <c r="P30" s="4" t="s">
        <v>57</v>
      </c>
    </row>
    <row r="31" spans="1:16" ht="40.5" customHeight="1" x14ac:dyDescent="0.3">
      <c r="A31" s="2" t="s">
        <v>304</v>
      </c>
      <c r="B31" s="2" t="s">
        <v>175</v>
      </c>
      <c r="C31" s="3" t="s">
        <v>18</v>
      </c>
      <c r="D31" s="3" t="s">
        <v>45</v>
      </c>
      <c r="E31" s="3" t="s">
        <v>20</v>
      </c>
      <c r="F31" s="3" t="s">
        <v>51</v>
      </c>
      <c r="G31" s="2" t="s">
        <v>155</v>
      </c>
      <c r="H31" s="2" t="s">
        <v>176</v>
      </c>
      <c r="I31" s="2" t="s">
        <v>177</v>
      </c>
      <c r="J31" s="2" t="s">
        <v>178</v>
      </c>
      <c r="K31" s="2" t="s">
        <v>179</v>
      </c>
      <c r="L31" s="2"/>
      <c r="M31" s="2"/>
      <c r="N31" s="2"/>
      <c r="O31" s="2"/>
      <c r="P31" s="4" t="s">
        <v>25</v>
      </c>
    </row>
    <row r="32" spans="1:16" ht="33" customHeight="1" x14ac:dyDescent="0.3">
      <c r="A32" s="2" t="s">
        <v>304</v>
      </c>
      <c r="B32" s="2" t="s">
        <v>180</v>
      </c>
      <c r="C32" s="3" t="s">
        <v>18</v>
      </c>
      <c r="D32" s="3" t="s">
        <v>27</v>
      </c>
      <c r="E32" s="3" t="s">
        <v>20</v>
      </c>
      <c r="F32" s="3" t="s">
        <v>51</v>
      </c>
      <c r="G32" s="2" t="s">
        <v>181</v>
      </c>
      <c r="H32" s="2" t="s">
        <v>182</v>
      </c>
      <c r="I32" s="2" t="s">
        <v>183</v>
      </c>
      <c r="J32" s="2" t="s">
        <v>184</v>
      </c>
      <c r="K32" s="2" t="s">
        <v>40</v>
      </c>
      <c r="L32" s="2"/>
      <c r="M32" s="2"/>
      <c r="N32" s="2"/>
      <c r="O32" s="2"/>
      <c r="P32" s="4" t="s">
        <v>25</v>
      </c>
    </row>
    <row r="33" spans="1:16" ht="33" customHeight="1" x14ac:dyDescent="0.3">
      <c r="A33" s="2" t="s">
        <v>304</v>
      </c>
      <c r="B33" s="2" t="s">
        <v>185</v>
      </c>
      <c r="C33" s="3" t="s">
        <v>18</v>
      </c>
      <c r="D33" s="3" t="s">
        <v>45</v>
      </c>
      <c r="E33" s="3" t="s">
        <v>20</v>
      </c>
      <c r="F33" s="3" t="s">
        <v>51</v>
      </c>
      <c r="G33" s="2" t="s">
        <v>181</v>
      </c>
      <c r="H33" s="2" t="s">
        <v>186</v>
      </c>
      <c r="I33" s="2" t="s">
        <v>187</v>
      </c>
      <c r="J33" s="2" t="s">
        <v>188</v>
      </c>
      <c r="K33" s="2" t="s">
        <v>189</v>
      </c>
      <c r="L33" s="2"/>
      <c r="M33" s="2"/>
      <c r="N33" s="2"/>
      <c r="O33" s="2"/>
      <c r="P33" s="4" t="s">
        <v>32</v>
      </c>
    </row>
    <row r="34" spans="1:16" ht="51.75" customHeight="1" x14ac:dyDescent="0.3">
      <c r="A34" s="2" t="s">
        <v>304</v>
      </c>
      <c r="B34" s="2" t="s">
        <v>190</v>
      </c>
      <c r="C34" s="3" t="s">
        <v>18</v>
      </c>
      <c r="D34" s="3" t="s">
        <v>27</v>
      </c>
      <c r="E34" s="3" t="s">
        <v>20</v>
      </c>
      <c r="F34" s="3" t="s">
        <v>51</v>
      </c>
      <c r="G34" s="2" t="s">
        <v>181</v>
      </c>
      <c r="H34" s="2" t="s">
        <v>191</v>
      </c>
      <c r="I34" s="2" t="s">
        <v>192</v>
      </c>
      <c r="J34" s="2" t="s">
        <v>193</v>
      </c>
      <c r="K34" s="2" t="s">
        <v>194</v>
      </c>
      <c r="L34" s="2"/>
      <c r="M34" s="2"/>
      <c r="N34" s="2"/>
      <c r="O34" s="2"/>
      <c r="P34" s="4" t="s">
        <v>57</v>
      </c>
    </row>
    <row r="35" spans="1:16" ht="40.5" customHeight="1" x14ac:dyDescent="0.3">
      <c r="A35" s="2" t="s">
        <v>304</v>
      </c>
      <c r="B35" s="2" t="s">
        <v>195</v>
      </c>
      <c r="C35" s="3" t="s">
        <v>18</v>
      </c>
      <c r="D35" s="3" t="s">
        <v>19</v>
      </c>
      <c r="E35" s="3" t="s">
        <v>20</v>
      </c>
      <c r="F35" s="3" t="s">
        <v>51</v>
      </c>
      <c r="G35" s="2" t="s">
        <v>181</v>
      </c>
      <c r="H35" s="2" t="s">
        <v>196</v>
      </c>
      <c r="I35" s="2" t="s">
        <v>197</v>
      </c>
      <c r="J35" s="2" t="s">
        <v>198</v>
      </c>
      <c r="K35" s="2" t="s">
        <v>199</v>
      </c>
      <c r="L35" s="2"/>
      <c r="M35" s="2"/>
      <c r="N35" s="2"/>
      <c r="O35" s="2"/>
      <c r="P35" s="4" t="s">
        <v>57</v>
      </c>
    </row>
    <row r="36" spans="1:16" ht="40.5" customHeight="1" x14ac:dyDescent="0.3">
      <c r="A36" s="2" t="s">
        <v>304</v>
      </c>
      <c r="B36" s="2" t="s">
        <v>200</v>
      </c>
      <c r="C36" s="3" t="s">
        <v>18</v>
      </c>
      <c r="D36" s="3" t="s">
        <v>27</v>
      </c>
      <c r="E36" s="3" t="s">
        <v>20</v>
      </c>
      <c r="F36" s="3" t="s">
        <v>51</v>
      </c>
      <c r="G36" s="2" t="s">
        <v>181</v>
      </c>
      <c r="H36" s="2" t="s">
        <v>201</v>
      </c>
      <c r="I36" s="2" t="s">
        <v>202</v>
      </c>
      <c r="J36" s="2" t="s">
        <v>203</v>
      </c>
      <c r="K36" s="2" t="s">
        <v>204</v>
      </c>
      <c r="L36" s="2"/>
      <c r="M36" s="2"/>
      <c r="N36" s="2"/>
      <c r="O36" s="2"/>
      <c r="P36" s="4" t="s">
        <v>25</v>
      </c>
    </row>
    <row r="37" spans="1:16" ht="40.5" customHeight="1" x14ac:dyDescent="0.3">
      <c r="A37" s="2" t="s">
        <v>304</v>
      </c>
      <c r="B37" s="2" t="s">
        <v>205</v>
      </c>
      <c r="C37" s="3" t="s">
        <v>18</v>
      </c>
      <c r="D37" s="3" t="s">
        <v>19</v>
      </c>
      <c r="E37" s="3" t="s">
        <v>20</v>
      </c>
      <c r="F37" s="3" t="s">
        <v>51</v>
      </c>
      <c r="G37" s="2" t="s">
        <v>206</v>
      </c>
      <c r="H37" s="2" t="s">
        <v>207</v>
      </c>
      <c r="I37" s="2" t="s">
        <v>208</v>
      </c>
      <c r="J37" s="2" t="s">
        <v>209</v>
      </c>
      <c r="K37" s="2" t="s">
        <v>210</v>
      </c>
      <c r="L37" s="2"/>
      <c r="M37" s="2"/>
      <c r="N37" s="2"/>
      <c r="O37" s="2"/>
      <c r="P37" s="4" t="s">
        <v>38</v>
      </c>
    </row>
    <row r="38" spans="1:16" ht="40.5" customHeight="1" x14ac:dyDescent="0.3">
      <c r="A38" s="2" t="s">
        <v>304</v>
      </c>
      <c r="B38" s="2" t="s">
        <v>211</v>
      </c>
      <c r="C38" s="3" t="s">
        <v>18</v>
      </c>
      <c r="D38" s="3" t="s">
        <v>27</v>
      </c>
      <c r="E38" s="3" t="s">
        <v>20</v>
      </c>
      <c r="F38" s="3" t="s">
        <v>51</v>
      </c>
      <c r="G38" s="2" t="s">
        <v>206</v>
      </c>
      <c r="H38" s="2" t="s">
        <v>212</v>
      </c>
      <c r="I38" s="2" t="s">
        <v>213</v>
      </c>
      <c r="J38" s="2" t="s">
        <v>214</v>
      </c>
      <c r="K38" s="2" t="s">
        <v>215</v>
      </c>
      <c r="L38" s="2"/>
      <c r="M38" s="2"/>
      <c r="N38" s="2"/>
      <c r="O38" s="2"/>
      <c r="P38" s="4" t="s">
        <v>25</v>
      </c>
    </row>
    <row r="39" spans="1:16" ht="33" customHeight="1" x14ac:dyDescent="0.3">
      <c r="A39" s="2" t="s">
        <v>304</v>
      </c>
      <c r="B39" s="2" t="s">
        <v>216</v>
      </c>
      <c r="C39" s="3" t="s">
        <v>18</v>
      </c>
      <c r="D39" s="3" t="s">
        <v>19</v>
      </c>
      <c r="E39" s="3" t="s">
        <v>20</v>
      </c>
      <c r="F39" s="3" t="s">
        <v>51</v>
      </c>
      <c r="G39" s="2" t="s">
        <v>206</v>
      </c>
      <c r="H39" s="2" t="s">
        <v>217</v>
      </c>
      <c r="I39" s="2" t="s">
        <v>218</v>
      </c>
      <c r="J39" s="2" t="s">
        <v>219</v>
      </c>
      <c r="K39" s="2" t="s">
        <v>220</v>
      </c>
      <c r="L39" s="2"/>
      <c r="M39" s="2"/>
      <c r="N39" s="2"/>
      <c r="O39" s="2"/>
      <c r="P39" s="4" t="s">
        <v>32</v>
      </c>
    </row>
    <row r="40" spans="1:16" ht="40.5" customHeight="1" x14ac:dyDescent="0.3">
      <c r="A40" s="2" t="s">
        <v>304</v>
      </c>
      <c r="B40" s="2" t="s">
        <v>221</v>
      </c>
      <c r="C40" s="3" t="s">
        <v>18</v>
      </c>
      <c r="D40" s="3" t="s">
        <v>27</v>
      </c>
      <c r="E40" s="3" t="s">
        <v>20</v>
      </c>
      <c r="F40" s="3" t="s">
        <v>51</v>
      </c>
      <c r="G40" s="2" t="s">
        <v>206</v>
      </c>
      <c r="H40" s="2" t="s">
        <v>222</v>
      </c>
      <c r="I40" s="2" t="s">
        <v>223</v>
      </c>
      <c r="J40" s="2" t="s">
        <v>224</v>
      </c>
      <c r="K40" s="2" t="s">
        <v>225</v>
      </c>
      <c r="L40" s="2"/>
      <c r="M40" s="2"/>
      <c r="N40" s="2"/>
      <c r="O40" s="2"/>
      <c r="P40" s="4" t="s">
        <v>32</v>
      </c>
    </row>
    <row r="41" spans="1:16" ht="51.75" customHeight="1" x14ac:dyDescent="0.3">
      <c r="A41" s="2" t="s">
        <v>304</v>
      </c>
      <c r="B41" s="2" t="s">
        <v>226</v>
      </c>
      <c r="C41" s="3" t="s">
        <v>18</v>
      </c>
      <c r="D41" s="3" t="s">
        <v>27</v>
      </c>
      <c r="E41" s="3" t="s">
        <v>20</v>
      </c>
      <c r="F41" s="3" t="s">
        <v>51</v>
      </c>
      <c r="G41" s="2" t="s">
        <v>206</v>
      </c>
      <c r="H41" s="2" t="s">
        <v>227</v>
      </c>
      <c r="I41" s="2" t="s">
        <v>228</v>
      </c>
      <c r="J41" s="2" t="s">
        <v>229</v>
      </c>
      <c r="K41" s="2" t="s">
        <v>230</v>
      </c>
      <c r="L41" s="2"/>
      <c r="M41" s="2"/>
      <c r="N41" s="2"/>
      <c r="O41" s="2"/>
      <c r="P41" s="4" t="s">
        <v>38</v>
      </c>
    </row>
    <row r="42" spans="1:16" ht="40.5" customHeight="1" x14ac:dyDescent="0.3">
      <c r="A42" s="2" t="s">
        <v>304</v>
      </c>
      <c r="B42" s="2" t="s">
        <v>231</v>
      </c>
      <c r="C42" s="3" t="s">
        <v>18</v>
      </c>
      <c r="D42" s="3" t="s">
        <v>45</v>
      </c>
      <c r="E42" s="3" t="s">
        <v>20</v>
      </c>
      <c r="F42" s="3" t="s">
        <v>51</v>
      </c>
      <c r="G42" s="2" t="s">
        <v>232</v>
      </c>
      <c r="H42" s="2" t="s">
        <v>233</v>
      </c>
      <c r="I42" s="2" t="s">
        <v>234</v>
      </c>
      <c r="J42" s="2" t="s">
        <v>235</v>
      </c>
      <c r="K42" s="2" t="s">
        <v>236</v>
      </c>
      <c r="L42" s="2"/>
      <c r="M42" s="2"/>
      <c r="N42" s="2"/>
      <c r="O42" s="2"/>
      <c r="P42" s="4" t="s">
        <v>38</v>
      </c>
    </row>
    <row r="43" spans="1:16" ht="33" customHeight="1" x14ac:dyDescent="0.3">
      <c r="A43" s="2" t="s">
        <v>304</v>
      </c>
      <c r="B43" s="2" t="s">
        <v>237</v>
      </c>
      <c r="C43" s="3" t="s">
        <v>18</v>
      </c>
      <c r="D43" s="3" t="s">
        <v>45</v>
      </c>
      <c r="E43" s="3" t="s">
        <v>20</v>
      </c>
      <c r="F43" s="3" t="s">
        <v>51</v>
      </c>
      <c r="G43" s="2" t="s">
        <v>232</v>
      </c>
      <c r="H43" s="2" t="s">
        <v>238</v>
      </c>
      <c r="I43" s="2" t="s">
        <v>239</v>
      </c>
      <c r="J43" s="2" t="s">
        <v>240</v>
      </c>
      <c r="K43" s="2" t="s">
        <v>241</v>
      </c>
      <c r="L43" s="2"/>
      <c r="M43" s="2"/>
      <c r="N43" s="2"/>
      <c r="O43" s="2"/>
      <c r="P43" s="4" t="s">
        <v>25</v>
      </c>
    </row>
    <row r="44" spans="1:16" ht="51.75" customHeight="1" x14ac:dyDescent="0.3">
      <c r="A44" s="2" t="s">
        <v>304</v>
      </c>
      <c r="B44" s="2" t="s">
        <v>242</v>
      </c>
      <c r="C44" s="3" t="s">
        <v>18</v>
      </c>
      <c r="D44" s="3" t="s">
        <v>45</v>
      </c>
      <c r="E44" s="3" t="s">
        <v>20</v>
      </c>
      <c r="F44" s="3" t="s">
        <v>51</v>
      </c>
      <c r="G44" s="2" t="s">
        <v>232</v>
      </c>
      <c r="H44" s="2" t="s">
        <v>243</v>
      </c>
      <c r="I44" s="2" t="s">
        <v>244</v>
      </c>
      <c r="J44" s="2" t="s">
        <v>245</v>
      </c>
      <c r="K44" s="2" t="s">
        <v>246</v>
      </c>
      <c r="L44" s="2"/>
      <c r="M44" s="2"/>
      <c r="N44" s="2"/>
      <c r="O44" s="2"/>
      <c r="P44" s="4" t="s">
        <v>38</v>
      </c>
    </row>
    <row r="45" spans="1:16" ht="33" customHeight="1" x14ac:dyDescent="0.3">
      <c r="A45" s="2" t="s">
        <v>304</v>
      </c>
      <c r="B45" s="2" t="s">
        <v>247</v>
      </c>
      <c r="C45" s="3" t="s">
        <v>18</v>
      </c>
      <c r="D45" s="3" t="s">
        <v>27</v>
      </c>
      <c r="E45" s="3" t="s">
        <v>20</v>
      </c>
      <c r="F45" s="3" t="s">
        <v>51</v>
      </c>
      <c r="G45" s="2" t="s">
        <v>232</v>
      </c>
      <c r="H45" s="2" t="s">
        <v>248</v>
      </c>
      <c r="I45" s="2" t="s">
        <v>249</v>
      </c>
      <c r="J45" s="2" t="s">
        <v>250</v>
      </c>
      <c r="K45" s="2" t="s">
        <v>251</v>
      </c>
      <c r="L45" s="2"/>
      <c r="M45" s="2"/>
      <c r="N45" s="2"/>
      <c r="O45" s="2"/>
      <c r="P45" s="4" t="s">
        <v>57</v>
      </c>
    </row>
    <row r="46" spans="1:16" ht="40.5" customHeight="1" x14ac:dyDescent="0.3">
      <c r="A46" s="2" t="s">
        <v>304</v>
      </c>
      <c r="B46" s="2" t="s">
        <v>252</v>
      </c>
      <c r="C46" s="3" t="s">
        <v>18</v>
      </c>
      <c r="D46" s="3" t="s">
        <v>19</v>
      </c>
      <c r="E46" s="3" t="s">
        <v>20</v>
      </c>
      <c r="F46" s="3" t="s">
        <v>51</v>
      </c>
      <c r="G46" s="2" t="s">
        <v>232</v>
      </c>
      <c r="H46" s="2" t="s">
        <v>253</v>
      </c>
      <c r="I46" s="2" t="s">
        <v>254</v>
      </c>
      <c r="J46" s="2" t="s">
        <v>255</v>
      </c>
      <c r="K46" s="2" t="s">
        <v>256</v>
      </c>
      <c r="L46" s="2"/>
      <c r="M46" s="2"/>
      <c r="N46" s="2"/>
      <c r="O46" s="2"/>
      <c r="P46" s="4" t="s">
        <v>57</v>
      </c>
    </row>
    <row r="47" spans="1:16" ht="51.75" customHeight="1" x14ac:dyDescent="0.3">
      <c r="A47" s="2" t="s">
        <v>304</v>
      </c>
      <c r="B47" s="2" t="s">
        <v>257</v>
      </c>
      <c r="C47" s="3" t="s">
        <v>18</v>
      </c>
      <c r="D47" s="3" t="s">
        <v>27</v>
      </c>
      <c r="E47" s="3" t="s">
        <v>20</v>
      </c>
      <c r="F47" s="3" t="s">
        <v>51</v>
      </c>
      <c r="G47" s="2" t="s">
        <v>258</v>
      </c>
      <c r="H47" s="2" t="s">
        <v>259</v>
      </c>
      <c r="I47" s="2" t="s">
        <v>260</v>
      </c>
      <c r="J47" s="2" t="s">
        <v>261</v>
      </c>
      <c r="K47" s="2" t="s">
        <v>262</v>
      </c>
      <c r="L47" s="2"/>
      <c r="M47" s="2"/>
      <c r="N47" s="2"/>
      <c r="O47" s="2"/>
      <c r="P47" s="4" t="s">
        <v>32</v>
      </c>
    </row>
    <row r="48" spans="1:16" ht="40.5" customHeight="1" x14ac:dyDescent="0.3">
      <c r="A48" s="2" t="s">
        <v>304</v>
      </c>
      <c r="B48" s="2" t="s">
        <v>263</v>
      </c>
      <c r="C48" s="3" t="s">
        <v>18</v>
      </c>
      <c r="D48" s="3" t="s">
        <v>45</v>
      </c>
      <c r="E48" s="3" t="s">
        <v>20</v>
      </c>
      <c r="F48" s="3" t="s">
        <v>51</v>
      </c>
      <c r="G48" s="2" t="s">
        <v>258</v>
      </c>
      <c r="H48" s="2" t="s">
        <v>264</v>
      </c>
      <c r="I48" s="2" t="s">
        <v>265</v>
      </c>
      <c r="J48" s="2" t="s">
        <v>266</v>
      </c>
      <c r="K48" s="2" t="s">
        <v>267</v>
      </c>
      <c r="L48" s="2"/>
      <c r="M48" s="2"/>
      <c r="N48" s="2"/>
      <c r="O48" s="2"/>
      <c r="P48" s="4" t="s">
        <v>57</v>
      </c>
    </row>
    <row r="49" spans="1:16" ht="40.5" customHeight="1" x14ac:dyDescent="0.3">
      <c r="A49" s="2" t="s">
        <v>304</v>
      </c>
      <c r="B49" s="2" t="s">
        <v>268</v>
      </c>
      <c r="C49" s="3" t="s">
        <v>18</v>
      </c>
      <c r="D49" s="3" t="s">
        <v>19</v>
      </c>
      <c r="E49" s="3" t="s">
        <v>20</v>
      </c>
      <c r="F49" s="3" t="s">
        <v>51</v>
      </c>
      <c r="G49" s="2" t="s">
        <v>258</v>
      </c>
      <c r="H49" s="2" t="s">
        <v>269</v>
      </c>
      <c r="I49" s="2" t="s">
        <v>270</v>
      </c>
      <c r="J49" s="2" t="s">
        <v>271</v>
      </c>
      <c r="K49" s="2" t="s">
        <v>272</v>
      </c>
      <c r="L49" s="2"/>
      <c r="M49" s="2"/>
      <c r="N49" s="2"/>
      <c r="O49" s="2"/>
      <c r="P49" s="4" t="s">
        <v>32</v>
      </c>
    </row>
    <row r="50" spans="1:16" ht="40.5" customHeight="1" x14ac:dyDescent="0.3">
      <c r="A50" s="2" t="s">
        <v>304</v>
      </c>
      <c r="B50" s="2" t="s">
        <v>273</v>
      </c>
      <c r="C50" s="3" t="s">
        <v>18</v>
      </c>
      <c r="D50" s="3" t="s">
        <v>27</v>
      </c>
      <c r="E50" s="3" t="s">
        <v>20</v>
      </c>
      <c r="F50" s="3" t="s">
        <v>51</v>
      </c>
      <c r="G50" s="2" t="s">
        <v>258</v>
      </c>
      <c r="H50" s="2" t="s">
        <v>274</v>
      </c>
      <c r="I50" s="2" t="s">
        <v>275</v>
      </c>
      <c r="J50" s="2" t="s">
        <v>276</v>
      </c>
      <c r="K50" s="2" t="s">
        <v>277</v>
      </c>
      <c r="L50" s="2"/>
      <c r="M50" s="2"/>
      <c r="N50" s="2"/>
      <c r="O50" s="2"/>
      <c r="P50" s="4" t="s">
        <v>25</v>
      </c>
    </row>
    <row r="51" spans="1:16" ht="63" customHeight="1" x14ac:dyDescent="0.3">
      <c r="A51" s="2" t="s">
        <v>304</v>
      </c>
      <c r="B51" s="2" t="s">
        <v>278</v>
      </c>
      <c r="C51" s="3" t="s">
        <v>18</v>
      </c>
      <c r="D51" s="3" t="s">
        <v>45</v>
      </c>
      <c r="E51" s="3" t="s">
        <v>20</v>
      </c>
      <c r="F51" s="3" t="s">
        <v>51</v>
      </c>
      <c r="G51" s="2" t="s">
        <v>258</v>
      </c>
      <c r="H51" s="2" t="s">
        <v>279</v>
      </c>
      <c r="I51" s="2" t="s">
        <v>280</v>
      </c>
      <c r="J51" s="2" t="s">
        <v>281</v>
      </c>
      <c r="K51" s="2" t="s">
        <v>282</v>
      </c>
      <c r="L51" s="2"/>
      <c r="M51" s="2"/>
      <c r="N51" s="2"/>
      <c r="O51" s="2"/>
      <c r="P51" s="4" t="s">
        <v>38</v>
      </c>
    </row>
  </sheetData>
  <autoFilter ref="A1:P51" xr:uid="{00000000-0009-0000-0000-000000000000}"/>
  <phoneticPr fontId="4" type="noConversion"/>
  <dataValidations count="4">
    <dataValidation type="list" allowBlank="1" sqref="C2:C1000" xr:uid="{00000000-0002-0000-0000-000000000000}">
      <formula1>"Lý thuyết,Bài tập"</formula1>
      <formula2>0</formula2>
    </dataValidation>
    <dataValidation type="list" allowBlank="1" sqref="D2:D1000" xr:uid="{00000000-0002-0000-0000-000001000000}">
      <formula1>"Dễ,Trung bình,Khó"</formula1>
      <formula2>0</formula2>
    </dataValidation>
    <dataValidation type="list" allowBlank="1" sqref="E2:E1000" xr:uid="{00000000-0002-0000-0000-000002000000}">
      <formula1>"Chọn 1,Chọn nhiều"</formula1>
      <formula2>0</formula2>
    </dataValidation>
    <dataValidation type="list" allowBlank="1" sqref="F2:F1000" xr:uid="{00000000-0002-0000-0000-000003000000}">
      <formula1>"Chung,Riêng"</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zoomScaleNormal="100" workbookViewId="0"/>
  </sheetViews>
  <sheetFormatPr defaultColWidth="8.6640625" defaultRowHeight="14.4" x14ac:dyDescent="0.3"/>
  <cols>
    <col min="1" max="1" width="26" customWidth="1"/>
    <col min="2" max="2" width="95" customWidth="1"/>
  </cols>
  <sheetData>
    <row r="1" spans="1:2" ht="15" customHeight="1" x14ac:dyDescent="0.3">
      <c r="A1" s="5" t="s">
        <v>283</v>
      </c>
      <c r="B1" s="5" t="s">
        <v>284</v>
      </c>
    </row>
    <row r="2" spans="1:2" ht="15" customHeight="1" x14ac:dyDescent="0.3">
      <c r="A2" s="6" t="s">
        <v>0</v>
      </c>
      <c r="B2" s="6" t="s">
        <v>285</v>
      </c>
    </row>
    <row r="3" spans="1:2" ht="15" customHeight="1" x14ac:dyDescent="0.3">
      <c r="A3" s="6" t="s">
        <v>1</v>
      </c>
      <c r="B3" s="6" t="s">
        <v>286</v>
      </c>
    </row>
    <row r="4" spans="1:2" ht="15" customHeight="1" x14ac:dyDescent="0.3">
      <c r="A4" s="6" t="s">
        <v>2</v>
      </c>
      <c r="B4" s="6" t="s">
        <v>287</v>
      </c>
    </row>
    <row r="5" spans="1:2" ht="15" customHeight="1" x14ac:dyDescent="0.3">
      <c r="A5" s="6" t="s">
        <v>3</v>
      </c>
      <c r="B5" s="6" t="s">
        <v>288</v>
      </c>
    </row>
    <row r="6" spans="1:2" ht="15" customHeight="1" x14ac:dyDescent="0.3">
      <c r="A6" s="6" t="s">
        <v>4</v>
      </c>
      <c r="B6" s="6" t="s">
        <v>289</v>
      </c>
    </row>
    <row r="7" spans="1:2" ht="15" customHeight="1" x14ac:dyDescent="0.3">
      <c r="A7" s="6" t="s">
        <v>5</v>
      </c>
      <c r="B7" s="6" t="s">
        <v>290</v>
      </c>
    </row>
    <row r="8" spans="1:2" ht="23.25" customHeight="1" x14ac:dyDescent="0.3">
      <c r="A8" s="6" t="s">
        <v>6</v>
      </c>
      <c r="B8" s="6" t="s">
        <v>291</v>
      </c>
    </row>
    <row r="9" spans="1:2" ht="15" customHeight="1" x14ac:dyDescent="0.3">
      <c r="A9" s="6" t="s">
        <v>292</v>
      </c>
      <c r="B9" s="6" t="s">
        <v>293</v>
      </c>
    </row>
    <row r="10" spans="1:2" ht="15" customHeight="1" x14ac:dyDescent="0.3">
      <c r="A10" s="6" t="s">
        <v>15</v>
      </c>
      <c r="B10" s="6" t="s">
        <v>294</v>
      </c>
    </row>
    <row r="11" spans="1:2" ht="15" customHeight="1" x14ac:dyDescent="0.3">
      <c r="A11" s="6"/>
      <c r="B11" s="6"/>
    </row>
    <row r="12" spans="1:2" ht="15" customHeight="1" x14ac:dyDescent="0.3">
      <c r="A12" s="7" t="s">
        <v>295</v>
      </c>
      <c r="B12" s="6"/>
    </row>
    <row r="13" spans="1:2" ht="15" customHeight="1" x14ac:dyDescent="0.3">
      <c r="A13" s="7" t="s">
        <v>296</v>
      </c>
      <c r="B13" s="6">
        <f>COUNTA(CauHoi!B2:B1000)</f>
        <v>50</v>
      </c>
    </row>
    <row r="14" spans="1:2" ht="15" customHeight="1" x14ac:dyDescent="0.3">
      <c r="A14" s="7" t="s">
        <v>297</v>
      </c>
      <c r="B14" s="6">
        <f>COUNTIF(CauHoi!F2:F1000,"Chung")</f>
        <v>5</v>
      </c>
    </row>
    <row r="15" spans="1:2" ht="15" customHeight="1" x14ac:dyDescent="0.3">
      <c r="A15" s="7" t="s">
        <v>298</v>
      </c>
      <c r="B15" s="6">
        <f>COUNTIF(CauHoi!F2:F1000,"Riêng")</f>
        <v>45</v>
      </c>
    </row>
    <row r="16" spans="1:2" ht="15" customHeight="1" x14ac:dyDescent="0.3">
      <c r="A16" s="7" t="s">
        <v>299</v>
      </c>
      <c r="B16" s="6">
        <f>SUMPRODUCT((CauHoi!G2:G1000&lt;&gt;"")/COUNTIF(CauHoi!G2:G1000,CauHoi!G2:G1000&amp;""))</f>
        <v>9</v>
      </c>
    </row>
    <row r="17" spans="1:2" ht="15" customHeight="1" x14ac:dyDescent="0.3">
      <c r="A17" s="7" t="s">
        <v>300</v>
      </c>
      <c r="B17" s="6">
        <f>COUNTIF(CauHoi!D2:D1000,"Dễ")</f>
        <v>15</v>
      </c>
    </row>
    <row r="18" spans="1:2" ht="15" customHeight="1" x14ac:dyDescent="0.3">
      <c r="A18" s="7" t="s">
        <v>301</v>
      </c>
      <c r="B18" s="6">
        <f>COUNTIF(CauHoi!D2:D1000,"Trung bình")</f>
        <v>25</v>
      </c>
    </row>
    <row r="19" spans="1:2" ht="15" customHeight="1" x14ac:dyDescent="0.3">
      <c r="A19" s="7" t="s">
        <v>302</v>
      </c>
      <c r="B19" s="6">
        <f>COUNTIF(CauHoi!D2:D1000,"Khó")</f>
        <v>10</v>
      </c>
    </row>
    <row r="20" spans="1:2" ht="15" customHeight="1" x14ac:dyDescent="0.3">
      <c r="A20" s="7" t="s">
        <v>303</v>
      </c>
      <c r="B20" s="6">
        <f>COUNTIF(CauHoi!E2:E1000,"Chọn nhiều")</f>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CauHoi</vt:lpstr>
      <vt:lpstr>HuongDan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dương phạm</cp:lastModifiedBy>
  <cp:revision>0</cp:revision>
  <dcterms:created xsi:type="dcterms:W3CDTF">2026-09-28T05:55:15Z</dcterms:created>
  <dcterms:modified xsi:type="dcterms:W3CDTF">2026-10-14T04:03:57Z</dcterms:modified>
  <dc:language>en-US</dc:language>
</cp:coreProperties>
</file>